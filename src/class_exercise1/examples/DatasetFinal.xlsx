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ate1904="1"/>
  <mc:AlternateContent xmlns:mc="http://schemas.openxmlformats.org/markup-compatibility/2006">
    <mc:Choice Requires="x15">
      <x15ac:absPath xmlns:x15ac="http://schemas.microsoft.com/office/spreadsheetml/2010/11/ac" url="/Users/jramirez/ownCloud/trabajo/clases/adaptive systems/slides/"/>
    </mc:Choice>
  </mc:AlternateContent>
  <xr:revisionPtr revIDLastSave="0" documentId="13_ncr:1_{7175A049-A367-864A-B32F-995FD12CAE98}" xr6:coauthVersionLast="47" xr6:coauthVersionMax="47" xr10:uidLastSave="{00000000-0000-0000-0000-000000000000}"/>
  <bookViews>
    <workbookView xWindow="-3340" yWindow="-21100" windowWidth="36180" windowHeight="18600" activeTab="2" xr2:uid="{00000000-000D-0000-FFFF-FFFF00000000}"/>
  </bookViews>
  <sheets>
    <sheet name="DATASET 25%" sheetId="6" r:id="rId1"/>
    <sheet name="Correlation25%" sheetId="22" r:id="rId2"/>
    <sheet name="Wolverine - 25%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2" i="22" l="1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AY48" i="22"/>
  <c r="AX48" i="22"/>
  <c r="AW48" i="22"/>
  <c r="AV48" i="22"/>
  <c r="AU48" i="22"/>
  <c r="AT48" i="22"/>
  <c r="AS48" i="22"/>
  <c r="AR48" i="22"/>
  <c r="AQ48" i="22"/>
  <c r="AP48" i="22"/>
  <c r="AO48" i="22"/>
  <c r="AN48" i="22"/>
  <c r="AM48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B48" i="22"/>
  <c r="AY47" i="22"/>
  <c r="AX47" i="22"/>
  <c r="AW47" i="22"/>
  <c r="AV47" i="22"/>
  <c r="AU47" i="22"/>
  <c r="AT47" i="22"/>
  <c r="AS47" i="22"/>
  <c r="AR47" i="22"/>
  <c r="AQ47" i="22"/>
  <c r="AP47" i="22"/>
  <c r="AO47" i="22"/>
  <c r="AN47" i="22"/>
  <c r="AM47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B47" i="22"/>
  <c r="AY46" i="22"/>
  <c r="AX46" i="22"/>
  <c r="AW46" i="22"/>
  <c r="AV46" i="22"/>
  <c r="AU46" i="22"/>
  <c r="AT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B46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AY37" i="22"/>
  <c r="AX37" i="22"/>
  <c r="AW37" i="22"/>
  <c r="AV37" i="22"/>
  <c r="AU37" i="22"/>
  <c r="AT37" i="22"/>
  <c r="AS37" i="22"/>
  <c r="AR37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AY36" i="22"/>
  <c r="AX36" i="22"/>
  <c r="AW36" i="22"/>
  <c r="AV36" i="22"/>
  <c r="AU36" i="22"/>
  <c r="AT36" i="22"/>
  <c r="AS36" i="22"/>
  <c r="AR36" i="22"/>
  <c r="AQ36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AY35" i="22"/>
  <c r="AX35" i="22"/>
  <c r="AW35" i="22"/>
  <c r="AV35" i="22"/>
  <c r="AU35" i="22"/>
  <c r="AT35" i="22"/>
  <c r="AS35" i="22"/>
  <c r="AR35" i="22"/>
  <c r="AQ35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Y26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B13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B11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B10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9" i="22"/>
  <c r="AY8" i="22"/>
  <c r="AX8" i="22"/>
  <c r="AW8" i="22"/>
  <c r="AV8" i="22"/>
  <c r="AU8" i="22"/>
  <c r="AT8" i="22"/>
  <c r="AS8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B8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B7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AY5" i="22"/>
  <c r="AX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D17" i="17"/>
  <c r="D15" i="17"/>
  <c r="E15" i="17" s="1"/>
  <c r="D14" i="17"/>
  <c r="E14" i="17" s="1"/>
  <c r="D13" i="17"/>
  <c r="E13" i="17" s="1"/>
  <c r="F12" i="17"/>
  <c r="D12" i="17"/>
  <c r="D11" i="17"/>
  <c r="E11" i="17" s="1"/>
  <c r="D10" i="17"/>
  <c r="E10" i="17" s="1"/>
  <c r="D9" i="17"/>
  <c r="E9" i="17" s="1"/>
  <c r="D8" i="17"/>
  <c r="E8" i="17" s="1"/>
  <c r="D7" i="17"/>
  <c r="E7" i="17" s="1"/>
  <c r="D6" i="17"/>
  <c r="E6" i="17" s="1"/>
  <c r="D5" i="17"/>
  <c r="E5" i="17" s="1"/>
  <c r="D4" i="17"/>
  <c r="E4" i="17" s="1"/>
  <c r="D3" i="17"/>
  <c r="E3" i="17" s="1"/>
  <c r="F5" i="17" l="1"/>
  <c r="F6" i="17"/>
  <c r="F13" i="17"/>
  <c r="F9" i="17"/>
  <c r="F7" i="17"/>
  <c r="F14" i="17"/>
  <c r="F8" i="17"/>
  <c r="F15" i="17"/>
  <c r="F10" i="17"/>
  <c r="F3" i="17"/>
  <c r="F11" i="17"/>
  <c r="F4" i="17"/>
  <c r="F16" i="17" l="1"/>
  <c r="F17" i="17"/>
</calcChain>
</file>

<file path=xl/sharedStrings.xml><?xml version="1.0" encoding="utf-8"?>
<sst xmlns="http://schemas.openxmlformats.org/spreadsheetml/2006/main" count="192" uniqueCount="84">
  <si>
    <t>Tabel 1</t>
  </si>
  <si>
    <t>Santa Claus</t>
  </si>
  <si>
    <t>Gandalf the Grey</t>
  </si>
  <si>
    <t>Frodo Baggins</t>
  </si>
  <si>
    <t xml:space="preserve">Anna </t>
  </si>
  <si>
    <t>Olaf</t>
  </si>
  <si>
    <t>Wall-E</t>
  </si>
  <si>
    <t>Jack Sparrow</t>
  </si>
  <si>
    <t>Voldemort</t>
  </si>
  <si>
    <t>Harry Potter</t>
  </si>
  <si>
    <t>Hagrid</t>
  </si>
  <si>
    <t>Hermione Granger</t>
  </si>
  <si>
    <t>Batman</t>
  </si>
  <si>
    <t>Superman</t>
  </si>
  <si>
    <t>Minion</t>
  </si>
  <si>
    <t>Wednesday Adams</t>
  </si>
  <si>
    <t>Woody</t>
  </si>
  <si>
    <t>Captain Kirk</t>
  </si>
  <si>
    <t>Wolverine</t>
  </si>
  <si>
    <t>Forrest Gump</t>
  </si>
  <si>
    <t>Darth Vader</t>
  </si>
  <si>
    <t>James Bond</t>
  </si>
  <si>
    <t>Indiana Jones</t>
  </si>
  <si>
    <t>Barbie</t>
  </si>
  <si>
    <t>Cinderella</t>
  </si>
  <si>
    <t>Rapunzel</t>
  </si>
  <si>
    <t>Pocahontas</t>
  </si>
  <si>
    <t>Kermit the Frog</t>
  </si>
  <si>
    <t>Miss Piggy</t>
  </si>
  <si>
    <t>The Joker</t>
  </si>
  <si>
    <t>Katniss Everdeen</t>
  </si>
  <si>
    <t>Hannibal Lector</t>
  </si>
  <si>
    <t>Chandler Bing</t>
  </si>
  <si>
    <t>Rachel Green</t>
  </si>
  <si>
    <t>Ross Geller</t>
  </si>
  <si>
    <t>Phoebe Buffay</t>
  </si>
  <si>
    <t>Joey Tribiani</t>
  </si>
  <si>
    <t>Monica Geller</t>
  </si>
  <si>
    <t>Winnie the Pooh</t>
  </si>
  <si>
    <t>Dorothy</t>
  </si>
  <si>
    <t>Jason Bourne</t>
  </si>
  <si>
    <t>Kevin McCallister</t>
  </si>
  <si>
    <t xml:space="preserve">Regina George </t>
  </si>
  <si>
    <t>Shrek</t>
  </si>
  <si>
    <t>Professor Snape</t>
  </si>
  <si>
    <t>Mr. Bean</t>
  </si>
  <si>
    <t>Willy Wonka</t>
  </si>
  <si>
    <t>Truman Burbank</t>
  </si>
  <si>
    <t xml:space="preserve">Rudolf the Red-Nosed Reindeer </t>
  </si>
  <si>
    <t>Dracula</t>
  </si>
  <si>
    <t xml:space="preserve">Sherlock Holmes </t>
  </si>
  <si>
    <t xml:space="preserve">Santa Claus </t>
  </si>
  <si>
    <t xml:space="preserve">Frodo Baggins </t>
  </si>
  <si>
    <t>Anna</t>
  </si>
  <si>
    <t xml:space="preserve">Harry Potter </t>
  </si>
  <si>
    <t>Regina George</t>
  </si>
  <si>
    <t>Rudolf the Red-Nosed Reindeer</t>
  </si>
  <si>
    <t>Lord of the Rings: Return of the King</t>
  </si>
  <si>
    <t>Star Wars: The Last Jedi</t>
  </si>
  <si>
    <t>The Shawshank Redemption</t>
  </si>
  <si>
    <t>Titanic</t>
  </si>
  <si>
    <t>The Holiday</t>
  </si>
  <si>
    <t>How the Grinch Stole Christmas</t>
  </si>
  <si>
    <t>The Lion King</t>
  </si>
  <si>
    <t>Frozen</t>
  </si>
  <si>
    <t>It</t>
  </si>
  <si>
    <t>The Hills Have Eyes</t>
  </si>
  <si>
    <t>Grease</t>
  </si>
  <si>
    <t>Mamma Mia!</t>
  </si>
  <si>
    <t>The Princess Diaries</t>
  </si>
  <si>
    <t>Twilight</t>
  </si>
  <si>
    <t>The Breakfast Club</t>
  </si>
  <si>
    <t xml:space="preserve">E.T. </t>
  </si>
  <si>
    <t>Into the Wild</t>
  </si>
  <si>
    <t>The Godfather</t>
  </si>
  <si>
    <t>Harry Potter and the Sorcerer's Stone</t>
  </si>
  <si>
    <t xml:space="preserve">Home Alone </t>
  </si>
  <si>
    <t>Correlation</t>
  </si>
  <si>
    <t>Rating</t>
  </si>
  <si>
    <t>Normalized Rating</t>
  </si>
  <si>
    <t>Average Rating</t>
  </si>
  <si>
    <t>Correlation * NR</t>
  </si>
  <si>
    <t xml:space="preserve">Predicted Rating </t>
  </si>
  <si>
    <t xml:space="preserve">Predicted Normalized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</si>
</sst>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46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0" fillId="0" borderId="0" xfId="0" applyNumberFormat="1">
      <alignment vertical="top" wrapText="1"/>
    </xf>
    <xf numFmtId="49" fontId="0" fillId="0" borderId="7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49" fontId="2" fillId="4" borderId="5" xfId="0" applyNumberFormat="1" applyFont="1" applyFill="1" applyBorder="1">
      <alignment vertical="top" wrapText="1"/>
    </xf>
    <xf numFmtId="0" fontId="0" fillId="4" borderId="6" xfId="0" applyNumberFormat="1" applyFill="1" applyBorder="1">
      <alignment vertical="top" wrapText="1"/>
    </xf>
    <xf numFmtId="0" fontId="0" fillId="4" borderId="7" xfId="0" applyFill="1" applyBorder="1">
      <alignment vertical="top" wrapText="1"/>
    </xf>
    <xf numFmtId="0" fontId="0" fillId="4" borderId="7" xfId="0" applyNumberFormat="1" applyFill="1" applyBorder="1">
      <alignment vertical="top" wrapText="1"/>
    </xf>
    <xf numFmtId="0" fontId="0" fillId="4" borderId="0" xfId="0" applyNumberFormat="1" applyFill="1">
      <alignment vertical="top" wrapText="1"/>
    </xf>
    <xf numFmtId="0" fontId="0" fillId="4" borderId="0" xfId="0" applyFill="1">
      <alignment vertical="top" wrapText="1"/>
    </xf>
    <xf numFmtId="0" fontId="0" fillId="4" borderId="3" xfId="0" applyNumberFormat="1" applyFill="1" applyBorder="1">
      <alignment vertical="top" wrapText="1"/>
    </xf>
    <xf numFmtId="49" fontId="2" fillId="5" borderId="1" xfId="0" applyNumberFormat="1" applyFont="1" applyFill="1" applyBorder="1">
      <alignment vertical="top" wrapText="1"/>
    </xf>
    <xf numFmtId="0" fontId="0" fillId="5" borderId="4" xfId="0" applyNumberFormat="1" applyFill="1" applyBorder="1">
      <alignment vertical="top" wrapText="1"/>
    </xf>
    <xf numFmtId="0" fontId="0" fillId="5" borderId="7" xfId="0" applyFill="1" applyBorder="1">
      <alignment vertical="top" wrapText="1"/>
    </xf>
    <xf numFmtId="0" fontId="0" fillId="5" borderId="7" xfId="0" applyNumberFormat="1" applyFill="1" applyBorder="1">
      <alignment vertical="top" wrapText="1"/>
    </xf>
    <xf numFmtId="0" fontId="0" fillId="5" borderId="0" xfId="0" applyNumberFormat="1" applyFill="1">
      <alignment vertical="top" wrapText="1"/>
    </xf>
    <xf numFmtId="0" fontId="3" fillId="0" borderId="0" xfId="1">
      <alignment vertical="top" wrapText="1"/>
    </xf>
    <xf numFmtId="0" fontId="3" fillId="0" borderId="7" xfId="1" applyBorder="1">
      <alignment vertical="top" wrapText="1"/>
    </xf>
    <xf numFmtId="0" fontId="3" fillId="0" borderId="6" xfId="1" applyBorder="1">
      <alignment vertical="top" wrapText="1"/>
    </xf>
    <xf numFmtId="49" fontId="4" fillId="3" borderId="5" xfId="1" applyNumberFormat="1" applyFont="1" applyFill="1" applyBorder="1">
      <alignment vertical="top" wrapText="1"/>
    </xf>
    <xf numFmtId="0" fontId="3" fillId="0" borderId="4" xfId="1" applyBorder="1">
      <alignment vertical="top" wrapText="1"/>
    </xf>
    <xf numFmtId="0" fontId="3" fillId="0" borderId="3" xfId="1" applyBorder="1">
      <alignment vertical="top" wrapText="1"/>
    </xf>
    <xf numFmtId="49" fontId="4" fillId="3" borderId="2" xfId="1" applyNumberFormat="1" applyFont="1" applyFill="1" applyBorder="1">
      <alignment vertical="top" wrapText="1"/>
    </xf>
    <xf numFmtId="49" fontId="4" fillId="2" borderId="1" xfId="1" applyNumberFormat="1" applyFont="1" applyFill="1" applyBorder="1">
      <alignment vertical="top" wrapText="1"/>
    </xf>
    <xf numFmtId="0" fontId="4" fillId="2" borderId="1" xfId="1" applyFont="1" applyFill="1" applyBorder="1">
      <alignment vertical="top" wrapText="1"/>
    </xf>
    <xf numFmtId="49" fontId="4" fillId="4" borderId="1" xfId="1" applyNumberFormat="1" applyFont="1" applyFill="1" applyBorder="1">
      <alignment vertical="top" wrapText="1"/>
    </xf>
    <xf numFmtId="0" fontId="3" fillId="4" borderId="4" xfId="1" applyFill="1" applyBorder="1">
      <alignment vertical="top" wrapText="1"/>
    </xf>
    <xf numFmtId="0" fontId="3" fillId="4" borderId="7" xfId="1" applyFill="1" applyBorder="1">
      <alignment vertical="top" wrapText="1"/>
    </xf>
    <xf numFmtId="0" fontId="3" fillId="4" borderId="0" xfId="1" applyFill="1">
      <alignment vertical="top" wrapText="1"/>
    </xf>
    <xf numFmtId="49" fontId="6" fillId="6" borderId="1" xfId="1" applyNumberFormat="1" applyFont="1" applyFill="1" applyBorder="1">
      <alignment vertical="top" wrapText="1"/>
    </xf>
    <xf numFmtId="0" fontId="5" fillId="6" borderId="4" xfId="1" applyFont="1" applyFill="1" applyBorder="1">
      <alignment vertical="top" wrapText="1"/>
    </xf>
    <xf numFmtId="0" fontId="5" fillId="6" borderId="7" xfId="1" applyFont="1" applyFill="1" applyBorder="1">
      <alignment vertical="top" wrapText="1"/>
    </xf>
    <xf numFmtId="0" fontId="5" fillId="6" borderId="0" xfId="1" applyFont="1" applyFill="1">
      <alignment vertical="top" wrapText="1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F0019ECE-FACB-8648-8E3D-0B3943C9DB6D}"/>
  </cellStyles>
  <dxfs count="6">
    <dxf>
      <font>
        <color rgb="FF669C35"/>
      </font>
    </dxf>
    <dxf>
      <font>
        <color rgb="FFFF0000"/>
      </font>
      <fill>
        <patternFill patternType="solid">
          <fgColor indexed="14"/>
          <bgColor indexed="15"/>
        </patternFill>
      </fill>
    </dxf>
    <dxf>
      <font>
        <color rgb="FFE32400"/>
      </font>
    </dxf>
    <dxf>
      <font>
        <color rgb="FFE32400"/>
      </font>
    </dxf>
    <dxf>
      <font>
        <color rgb="FFFF9300"/>
      </font>
      <fill>
        <patternFill patternType="solid">
          <fgColor indexed="14"/>
          <bgColor indexed="15"/>
        </patternFill>
      </fill>
    </dxf>
    <dxf>
      <font>
        <color rgb="FF669C35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669C35"/>
      <rgbColor rgb="00000000"/>
      <rgbColor rgb="FFFEFFFF"/>
      <rgbColor rgb="FFFF9300"/>
      <rgbColor rgb="FFE324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21"/>
  <sheetViews>
    <sheetView showGridLines="0" zoomScale="120" zoomScaleNormal="120" workbookViewId="0">
      <pane xSplit="1" ySplit="1" topLeftCell="I2" activePane="bottomRight" state="frozen"/>
      <selection pane="topRight"/>
      <selection pane="bottomLeft"/>
      <selection pane="bottomRight" activeCell="V5" sqref="V5"/>
    </sheetView>
  </sheetViews>
  <sheetFormatPr baseColWidth="10" defaultColWidth="16.33203125" defaultRowHeight="20" customHeight="1" x14ac:dyDescent="0.15"/>
  <cols>
    <col min="1" max="15" width="16.33203125" style="12" customWidth="1"/>
    <col min="16" max="16" width="17.6640625" style="12" customWidth="1"/>
    <col min="17" max="18" width="16.33203125" style="12" customWidth="1"/>
    <col min="19" max="19" width="16.33203125" style="26" customWidth="1"/>
    <col min="20" max="256" width="16.33203125" style="12" customWidth="1"/>
  </cols>
  <sheetData>
    <row r="1" spans="1:256" ht="32.25" customHeight="1" x14ac:dyDescent="0.1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256" ht="32.25" customHeight="1" x14ac:dyDescent="0.15">
      <c r="A2" s="3" t="s">
        <v>57</v>
      </c>
      <c r="B2" s="4">
        <v>3</v>
      </c>
      <c r="C2" s="5">
        <v>4</v>
      </c>
      <c r="D2" s="5">
        <v>5</v>
      </c>
      <c r="E2" s="9"/>
      <c r="F2" s="5">
        <v>3</v>
      </c>
      <c r="G2" s="9"/>
      <c r="H2" s="5">
        <v>5</v>
      </c>
      <c r="I2" s="5">
        <v>3</v>
      </c>
      <c r="J2" s="5">
        <v>5</v>
      </c>
      <c r="K2" s="9"/>
      <c r="L2" s="5">
        <v>2</v>
      </c>
      <c r="M2" s="5">
        <v>2</v>
      </c>
      <c r="N2" s="5">
        <v>4</v>
      </c>
      <c r="O2" s="5">
        <v>2</v>
      </c>
      <c r="P2" s="9"/>
      <c r="Q2" s="5">
        <v>4</v>
      </c>
      <c r="R2" s="5">
        <v>5</v>
      </c>
      <c r="S2" s="23">
        <v>4</v>
      </c>
      <c r="T2" s="9"/>
      <c r="U2" s="5">
        <v>3</v>
      </c>
      <c r="V2" s="5">
        <v>4</v>
      </c>
      <c r="W2" s="5">
        <v>5</v>
      </c>
      <c r="X2" s="5">
        <v>2</v>
      </c>
      <c r="Y2" s="9"/>
      <c r="Z2" s="5">
        <v>3</v>
      </c>
      <c r="AA2" s="5">
        <v>4</v>
      </c>
      <c r="AB2" s="9"/>
      <c r="AC2" s="5">
        <v>5</v>
      </c>
      <c r="AD2" s="5">
        <v>2</v>
      </c>
      <c r="AE2" s="5">
        <v>5</v>
      </c>
      <c r="AF2" s="9"/>
      <c r="AG2" s="5">
        <v>2</v>
      </c>
      <c r="AH2" s="5">
        <v>2</v>
      </c>
      <c r="AI2" s="5">
        <v>4</v>
      </c>
      <c r="AJ2" s="9"/>
      <c r="AK2" s="5">
        <v>4</v>
      </c>
      <c r="AL2" s="5">
        <v>4</v>
      </c>
      <c r="AM2" s="5">
        <v>2</v>
      </c>
      <c r="AN2" s="5">
        <v>3</v>
      </c>
      <c r="AO2" s="9"/>
      <c r="AP2" s="5">
        <v>5</v>
      </c>
      <c r="AQ2" s="5">
        <v>2</v>
      </c>
      <c r="AR2" s="5">
        <v>4</v>
      </c>
      <c r="AS2" s="9"/>
      <c r="AT2" s="5">
        <v>2</v>
      </c>
      <c r="AU2" s="5">
        <v>2</v>
      </c>
      <c r="AV2" s="5">
        <v>3</v>
      </c>
      <c r="AW2" s="5">
        <v>2</v>
      </c>
      <c r="AX2" s="9"/>
      <c r="AY2" s="5">
        <v>4</v>
      </c>
    </row>
    <row r="3" spans="1:256" ht="32" customHeight="1" x14ac:dyDescent="0.15">
      <c r="A3" s="6" t="s">
        <v>58</v>
      </c>
      <c r="B3" s="7">
        <v>2</v>
      </c>
      <c r="C3" s="8">
        <v>1</v>
      </c>
      <c r="D3" s="11"/>
      <c r="E3" s="8">
        <v>1</v>
      </c>
      <c r="F3" s="8">
        <v>3</v>
      </c>
      <c r="G3" s="8">
        <v>5</v>
      </c>
      <c r="H3" s="8">
        <v>1</v>
      </c>
      <c r="I3" s="8">
        <v>4</v>
      </c>
      <c r="J3" s="11"/>
      <c r="K3" s="11"/>
      <c r="L3" s="8">
        <v>2</v>
      </c>
      <c r="M3" s="8">
        <v>4</v>
      </c>
      <c r="N3" s="8">
        <v>4</v>
      </c>
      <c r="O3" s="11"/>
      <c r="P3" s="11"/>
      <c r="Q3" s="8">
        <v>2</v>
      </c>
      <c r="R3" s="8">
        <v>5</v>
      </c>
      <c r="S3" s="24"/>
      <c r="T3" s="8">
        <v>2</v>
      </c>
      <c r="U3" s="8">
        <v>4</v>
      </c>
      <c r="V3" s="11"/>
      <c r="W3" s="8">
        <v>4</v>
      </c>
      <c r="X3" s="8">
        <v>1</v>
      </c>
      <c r="Y3" s="8">
        <v>2</v>
      </c>
      <c r="Z3" s="8">
        <v>1</v>
      </c>
      <c r="AA3" s="11"/>
      <c r="AB3" s="8">
        <v>4</v>
      </c>
      <c r="AC3" s="8">
        <v>5</v>
      </c>
      <c r="AD3" s="11"/>
      <c r="AE3" s="8">
        <v>4</v>
      </c>
      <c r="AF3" s="8">
        <v>3</v>
      </c>
      <c r="AG3" s="11"/>
      <c r="AH3" s="8">
        <v>4</v>
      </c>
      <c r="AI3" s="8">
        <v>5</v>
      </c>
      <c r="AJ3" s="8">
        <v>5</v>
      </c>
      <c r="AK3" s="8">
        <v>5</v>
      </c>
      <c r="AL3" s="11"/>
      <c r="AM3" s="8">
        <v>2</v>
      </c>
      <c r="AN3" s="8">
        <v>5</v>
      </c>
      <c r="AO3" s="8">
        <v>4</v>
      </c>
      <c r="AP3" s="8">
        <v>5</v>
      </c>
      <c r="AQ3" s="8">
        <v>1</v>
      </c>
      <c r="AR3" s="11"/>
      <c r="AS3" s="8">
        <v>5</v>
      </c>
      <c r="AT3" s="8">
        <v>1</v>
      </c>
      <c r="AU3" s="11"/>
      <c r="AV3" s="8">
        <v>4</v>
      </c>
      <c r="AW3" s="11"/>
      <c r="AX3" s="8">
        <v>4</v>
      </c>
      <c r="AY3" s="8">
        <v>2</v>
      </c>
    </row>
    <row r="4" spans="1:256" ht="32" customHeight="1" x14ac:dyDescent="0.15">
      <c r="A4" s="6" t="s">
        <v>59</v>
      </c>
      <c r="B4" s="10"/>
      <c r="C4" s="8">
        <v>5</v>
      </c>
      <c r="D4" s="8">
        <v>2</v>
      </c>
      <c r="E4" s="8">
        <v>1</v>
      </c>
      <c r="F4" s="11"/>
      <c r="G4" s="8">
        <v>2</v>
      </c>
      <c r="H4" s="8">
        <v>5</v>
      </c>
      <c r="I4" s="8">
        <v>3</v>
      </c>
      <c r="J4" s="8">
        <v>4</v>
      </c>
      <c r="K4" s="8">
        <v>4</v>
      </c>
      <c r="L4" s="8">
        <v>4</v>
      </c>
      <c r="M4" s="11"/>
      <c r="N4" s="8">
        <v>2</v>
      </c>
      <c r="O4" s="8">
        <v>2</v>
      </c>
      <c r="P4" s="11"/>
      <c r="Q4" s="8">
        <v>3</v>
      </c>
      <c r="R4" s="11"/>
      <c r="S4" s="25">
        <v>3</v>
      </c>
      <c r="T4" s="8">
        <v>2</v>
      </c>
      <c r="U4" s="8">
        <v>2</v>
      </c>
      <c r="V4" s="8">
        <v>4</v>
      </c>
      <c r="W4" s="8">
        <v>5</v>
      </c>
      <c r="X4" s="11"/>
      <c r="Y4" s="11"/>
      <c r="Z4" s="8">
        <v>2</v>
      </c>
      <c r="AA4" s="8">
        <v>3</v>
      </c>
      <c r="AB4" s="8">
        <v>2</v>
      </c>
      <c r="AC4" s="8">
        <v>5</v>
      </c>
      <c r="AD4" s="8">
        <v>5</v>
      </c>
      <c r="AE4" s="8">
        <v>3</v>
      </c>
      <c r="AF4" s="8">
        <v>5</v>
      </c>
      <c r="AG4" s="8">
        <v>2</v>
      </c>
      <c r="AH4" s="11"/>
      <c r="AI4" s="8">
        <v>4</v>
      </c>
      <c r="AJ4" s="8">
        <v>1</v>
      </c>
      <c r="AK4" s="8">
        <v>1</v>
      </c>
      <c r="AL4" s="11"/>
      <c r="AM4" s="8">
        <v>2</v>
      </c>
      <c r="AN4" s="8">
        <v>2</v>
      </c>
      <c r="AO4" s="8">
        <v>2</v>
      </c>
      <c r="AP4" s="11"/>
      <c r="AQ4" s="8">
        <v>2</v>
      </c>
      <c r="AR4" s="8">
        <v>1</v>
      </c>
      <c r="AS4" s="8">
        <v>3</v>
      </c>
      <c r="AT4" s="8">
        <v>2</v>
      </c>
      <c r="AU4" s="8">
        <v>2</v>
      </c>
      <c r="AV4" s="11"/>
      <c r="AW4" s="8">
        <v>3</v>
      </c>
      <c r="AX4" s="8">
        <v>2</v>
      </c>
      <c r="AY4" s="11"/>
    </row>
    <row r="5" spans="1:256" s="20" customFormat="1" ht="20" customHeight="1" x14ac:dyDescent="0.15">
      <c r="A5" s="15" t="s">
        <v>60</v>
      </c>
      <c r="B5" s="16">
        <v>4</v>
      </c>
      <c r="C5" s="17"/>
      <c r="D5" s="18">
        <v>2</v>
      </c>
      <c r="E5" s="17"/>
      <c r="F5" s="18">
        <v>4</v>
      </c>
      <c r="G5" s="18">
        <v>4</v>
      </c>
      <c r="H5" s="18">
        <v>2</v>
      </c>
      <c r="I5" s="18">
        <v>2</v>
      </c>
      <c r="J5" s="18">
        <v>3</v>
      </c>
      <c r="K5" s="18">
        <v>5</v>
      </c>
      <c r="L5" s="17"/>
      <c r="M5" s="18">
        <v>2</v>
      </c>
      <c r="N5" s="17"/>
      <c r="O5" s="18">
        <v>5</v>
      </c>
      <c r="P5" s="18">
        <v>1</v>
      </c>
      <c r="Q5" s="18">
        <v>4</v>
      </c>
      <c r="R5" s="18">
        <v>3</v>
      </c>
      <c r="S5" s="24"/>
      <c r="T5" s="18">
        <v>4</v>
      </c>
      <c r="U5" s="18">
        <v>1</v>
      </c>
      <c r="V5" s="18">
        <v>3</v>
      </c>
      <c r="W5" s="18">
        <v>4</v>
      </c>
      <c r="X5" s="18">
        <v>5</v>
      </c>
      <c r="Y5" s="17"/>
      <c r="Z5" s="18">
        <v>4</v>
      </c>
      <c r="AA5" s="18">
        <v>4</v>
      </c>
      <c r="AB5" s="18">
        <v>5</v>
      </c>
      <c r="AC5" s="18">
        <v>5</v>
      </c>
      <c r="AD5" s="18">
        <v>1</v>
      </c>
      <c r="AE5" s="18">
        <v>2</v>
      </c>
      <c r="AF5" s="17"/>
      <c r="AG5" s="18">
        <v>4</v>
      </c>
      <c r="AH5" s="18">
        <v>5</v>
      </c>
      <c r="AI5" s="18">
        <v>4</v>
      </c>
      <c r="AJ5" s="17"/>
      <c r="AK5" s="18">
        <v>3</v>
      </c>
      <c r="AL5" s="18">
        <v>2</v>
      </c>
      <c r="AM5" s="18">
        <v>3</v>
      </c>
      <c r="AN5" s="18">
        <v>3</v>
      </c>
      <c r="AO5" s="17"/>
      <c r="AP5" s="18">
        <v>1</v>
      </c>
      <c r="AQ5" s="18">
        <v>3</v>
      </c>
      <c r="AR5" s="18">
        <v>2</v>
      </c>
      <c r="AS5" s="17"/>
      <c r="AT5" s="18">
        <v>4</v>
      </c>
      <c r="AU5" s="18">
        <v>2</v>
      </c>
      <c r="AV5" s="18">
        <v>2</v>
      </c>
      <c r="AW5" s="18">
        <v>4</v>
      </c>
      <c r="AX5" s="17"/>
      <c r="AY5" s="18">
        <v>2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</row>
    <row r="6" spans="1:256" ht="20" customHeight="1" x14ac:dyDescent="0.15">
      <c r="A6" s="6" t="s">
        <v>61</v>
      </c>
      <c r="B6" s="10"/>
      <c r="C6" s="8">
        <v>5</v>
      </c>
      <c r="D6" s="11"/>
      <c r="E6" s="8">
        <v>4</v>
      </c>
      <c r="F6" s="11"/>
      <c r="G6" s="8">
        <v>4</v>
      </c>
      <c r="H6" s="11"/>
      <c r="I6" s="11"/>
      <c r="J6" s="11"/>
      <c r="K6" s="8">
        <v>4</v>
      </c>
      <c r="L6" s="8">
        <v>3</v>
      </c>
      <c r="M6" s="8">
        <v>1</v>
      </c>
      <c r="N6" s="8">
        <v>3</v>
      </c>
      <c r="O6" s="8">
        <v>4</v>
      </c>
      <c r="P6" s="8">
        <v>1</v>
      </c>
      <c r="Q6" s="11"/>
      <c r="R6" s="8">
        <v>2</v>
      </c>
      <c r="S6" s="25">
        <v>1</v>
      </c>
      <c r="T6" s="8">
        <v>4</v>
      </c>
      <c r="U6" s="8">
        <v>1</v>
      </c>
      <c r="V6" s="8">
        <v>2</v>
      </c>
      <c r="W6" s="11"/>
      <c r="X6" s="8">
        <v>5</v>
      </c>
      <c r="Y6" s="8">
        <v>5</v>
      </c>
      <c r="Z6" s="11"/>
      <c r="AA6" s="8">
        <v>3</v>
      </c>
      <c r="AB6" s="8">
        <v>5</v>
      </c>
      <c r="AC6" s="11"/>
      <c r="AD6" s="8">
        <v>1</v>
      </c>
      <c r="AE6" s="8">
        <v>2</v>
      </c>
      <c r="AF6" s="8">
        <v>2</v>
      </c>
      <c r="AG6" s="8">
        <v>5</v>
      </c>
      <c r="AH6" s="11"/>
      <c r="AI6" s="11"/>
      <c r="AJ6" s="11"/>
      <c r="AK6" s="8">
        <v>2</v>
      </c>
      <c r="AL6" s="8">
        <v>1</v>
      </c>
      <c r="AM6" s="11"/>
      <c r="AN6" s="8">
        <v>4</v>
      </c>
      <c r="AO6" s="8">
        <v>3</v>
      </c>
      <c r="AP6" s="8">
        <v>3</v>
      </c>
      <c r="AQ6" s="11"/>
      <c r="AR6" s="8">
        <v>1</v>
      </c>
      <c r="AS6" s="8">
        <v>1</v>
      </c>
      <c r="AT6" s="11"/>
      <c r="AU6" s="8">
        <v>3</v>
      </c>
      <c r="AV6" s="8">
        <v>3</v>
      </c>
      <c r="AW6" s="8">
        <v>5</v>
      </c>
      <c r="AX6" s="11"/>
      <c r="AY6" s="8">
        <v>2</v>
      </c>
    </row>
    <row r="7" spans="1:256" ht="32" customHeight="1" x14ac:dyDescent="0.15">
      <c r="A7" s="6" t="s">
        <v>62</v>
      </c>
      <c r="B7" s="7">
        <v>5</v>
      </c>
      <c r="C7" s="8">
        <v>5</v>
      </c>
      <c r="D7" s="11"/>
      <c r="E7" s="8">
        <v>5</v>
      </c>
      <c r="F7" s="8">
        <v>5</v>
      </c>
      <c r="G7" s="8">
        <v>2</v>
      </c>
      <c r="H7" s="8">
        <v>2</v>
      </c>
      <c r="I7" s="11"/>
      <c r="J7" s="8">
        <v>4</v>
      </c>
      <c r="K7" s="8">
        <v>5</v>
      </c>
      <c r="L7" s="8">
        <v>2</v>
      </c>
      <c r="M7" s="8">
        <v>1</v>
      </c>
      <c r="N7" s="8">
        <v>2</v>
      </c>
      <c r="O7" s="8">
        <v>5</v>
      </c>
      <c r="P7" s="8">
        <v>1</v>
      </c>
      <c r="Q7" s="8">
        <v>1</v>
      </c>
      <c r="R7" s="11"/>
      <c r="S7" s="25">
        <v>1</v>
      </c>
      <c r="T7" s="8">
        <v>5</v>
      </c>
      <c r="U7" s="8">
        <v>4</v>
      </c>
      <c r="V7" s="11"/>
      <c r="W7" s="11"/>
      <c r="X7" s="8">
        <v>5</v>
      </c>
      <c r="Y7" s="8">
        <v>4</v>
      </c>
      <c r="Z7" s="8">
        <v>4</v>
      </c>
      <c r="AA7" s="11"/>
      <c r="AB7" s="8">
        <v>5</v>
      </c>
      <c r="AC7" s="8">
        <v>3</v>
      </c>
      <c r="AD7" s="8">
        <v>5</v>
      </c>
      <c r="AE7" s="8">
        <v>1</v>
      </c>
      <c r="AF7" s="8">
        <v>4</v>
      </c>
      <c r="AG7" s="11"/>
      <c r="AH7" s="8">
        <v>3</v>
      </c>
      <c r="AI7" s="8">
        <v>2</v>
      </c>
      <c r="AJ7" s="8">
        <v>5</v>
      </c>
      <c r="AK7" s="11"/>
      <c r="AL7" s="8">
        <v>3</v>
      </c>
      <c r="AM7" s="8">
        <v>3</v>
      </c>
      <c r="AN7" s="8">
        <v>3</v>
      </c>
      <c r="AO7" s="8">
        <v>4</v>
      </c>
      <c r="AP7" s="8">
        <v>4</v>
      </c>
      <c r="AQ7" s="8">
        <v>1</v>
      </c>
      <c r="AR7" s="11"/>
      <c r="AS7" s="8">
        <v>1</v>
      </c>
      <c r="AT7" s="8">
        <v>5</v>
      </c>
      <c r="AU7" s="8">
        <v>3</v>
      </c>
      <c r="AV7" s="11"/>
      <c r="AW7" s="8">
        <v>5</v>
      </c>
      <c r="AX7" s="8">
        <v>3</v>
      </c>
      <c r="AY7" s="8">
        <v>4</v>
      </c>
    </row>
    <row r="8" spans="1:256" ht="20" customHeight="1" x14ac:dyDescent="0.15">
      <c r="A8" s="6" t="s">
        <v>63</v>
      </c>
      <c r="B8" s="7">
        <v>5</v>
      </c>
      <c r="C8" s="8">
        <v>5</v>
      </c>
      <c r="D8" s="8">
        <v>4</v>
      </c>
      <c r="E8" s="8">
        <v>5</v>
      </c>
      <c r="F8" s="8">
        <v>3</v>
      </c>
      <c r="G8" s="11"/>
      <c r="H8" s="8">
        <v>4</v>
      </c>
      <c r="I8" s="8">
        <v>3</v>
      </c>
      <c r="J8" s="8">
        <v>4</v>
      </c>
      <c r="K8" s="11"/>
      <c r="L8" s="8">
        <v>3</v>
      </c>
      <c r="M8" s="8">
        <v>2</v>
      </c>
      <c r="N8" s="8">
        <v>4</v>
      </c>
      <c r="O8" s="11"/>
      <c r="P8" s="11"/>
      <c r="Q8" s="8">
        <v>4</v>
      </c>
      <c r="R8" s="8">
        <v>3</v>
      </c>
      <c r="S8" s="25">
        <v>3</v>
      </c>
      <c r="T8" s="8">
        <v>5</v>
      </c>
      <c r="U8" s="11"/>
      <c r="V8" s="8">
        <v>4</v>
      </c>
      <c r="W8" s="8">
        <v>3</v>
      </c>
      <c r="X8" s="8">
        <v>5</v>
      </c>
      <c r="Y8" s="8">
        <v>4</v>
      </c>
      <c r="Z8" s="8">
        <v>4</v>
      </c>
      <c r="AA8" s="8">
        <v>5</v>
      </c>
      <c r="AB8" s="11"/>
      <c r="AC8" s="11"/>
      <c r="AD8" s="8">
        <v>4</v>
      </c>
      <c r="AE8" s="8">
        <v>1</v>
      </c>
      <c r="AF8" s="8">
        <v>4</v>
      </c>
      <c r="AG8" s="8">
        <v>5</v>
      </c>
      <c r="AH8" s="8">
        <v>2</v>
      </c>
      <c r="AI8" s="8">
        <v>3</v>
      </c>
      <c r="AJ8" s="11"/>
      <c r="AK8" s="8">
        <v>5</v>
      </c>
      <c r="AL8" s="8">
        <v>3</v>
      </c>
      <c r="AM8" s="8">
        <v>4</v>
      </c>
      <c r="AN8" s="8">
        <v>2</v>
      </c>
      <c r="AO8" s="11"/>
      <c r="AP8" s="8">
        <v>4</v>
      </c>
      <c r="AQ8" s="8">
        <v>2</v>
      </c>
      <c r="AR8" s="8">
        <v>4</v>
      </c>
      <c r="AS8" s="11"/>
      <c r="AT8" s="8">
        <v>5</v>
      </c>
      <c r="AU8" s="8">
        <v>2</v>
      </c>
      <c r="AV8" s="8">
        <v>5</v>
      </c>
      <c r="AW8" s="8">
        <v>5</v>
      </c>
      <c r="AX8" s="8">
        <v>2</v>
      </c>
      <c r="AY8" s="11"/>
    </row>
    <row r="9" spans="1:256" ht="20" customHeight="1" x14ac:dyDescent="0.15">
      <c r="A9" s="6" t="s">
        <v>64</v>
      </c>
      <c r="B9" s="7">
        <v>5</v>
      </c>
      <c r="C9" s="11"/>
      <c r="D9" s="8">
        <v>1</v>
      </c>
      <c r="E9" s="8">
        <v>5</v>
      </c>
      <c r="F9" s="8">
        <v>5</v>
      </c>
      <c r="G9" s="8">
        <v>4</v>
      </c>
      <c r="H9" s="11"/>
      <c r="I9" s="8">
        <v>2</v>
      </c>
      <c r="J9" s="8">
        <v>2</v>
      </c>
      <c r="K9" s="8">
        <v>4</v>
      </c>
      <c r="L9" s="8">
        <v>2</v>
      </c>
      <c r="M9" s="11"/>
      <c r="N9" s="8">
        <v>2</v>
      </c>
      <c r="O9" s="8">
        <v>5</v>
      </c>
      <c r="P9" s="8">
        <v>1</v>
      </c>
      <c r="Q9" s="11"/>
      <c r="R9" s="8">
        <v>2</v>
      </c>
      <c r="S9" s="25">
        <v>1</v>
      </c>
      <c r="T9" s="8">
        <v>5</v>
      </c>
      <c r="U9" s="11"/>
      <c r="V9" s="8">
        <v>3</v>
      </c>
      <c r="W9" s="8">
        <v>2</v>
      </c>
      <c r="X9" s="11"/>
      <c r="Y9" s="8">
        <v>5</v>
      </c>
      <c r="Z9" s="8">
        <v>3</v>
      </c>
      <c r="AA9" s="8">
        <v>3</v>
      </c>
      <c r="AB9" s="8">
        <v>5</v>
      </c>
      <c r="AC9" s="8">
        <v>4</v>
      </c>
      <c r="AD9" s="8">
        <v>2</v>
      </c>
      <c r="AE9" s="11"/>
      <c r="AF9" s="8">
        <v>2</v>
      </c>
      <c r="AG9" s="8">
        <v>3</v>
      </c>
      <c r="AH9" s="8">
        <v>5</v>
      </c>
      <c r="AI9" s="11"/>
      <c r="AJ9" s="8">
        <v>5</v>
      </c>
      <c r="AK9" s="8">
        <v>5</v>
      </c>
      <c r="AL9" s="11"/>
      <c r="AM9" s="8">
        <v>3</v>
      </c>
      <c r="AN9" s="11"/>
      <c r="AO9" s="8">
        <v>2</v>
      </c>
      <c r="AP9" s="8">
        <v>2</v>
      </c>
      <c r="AQ9" s="11"/>
      <c r="AR9" s="8">
        <v>4</v>
      </c>
      <c r="AS9" s="8">
        <v>1</v>
      </c>
      <c r="AT9" s="11"/>
      <c r="AU9" s="8">
        <v>4</v>
      </c>
      <c r="AV9" s="8">
        <v>2</v>
      </c>
      <c r="AW9" s="11"/>
      <c r="AX9" s="8">
        <v>3</v>
      </c>
      <c r="AY9" s="8">
        <v>1</v>
      </c>
    </row>
    <row r="10" spans="1:256" ht="20" customHeight="1" x14ac:dyDescent="0.15">
      <c r="A10" s="6" t="s">
        <v>65</v>
      </c>
      <c r="B10" s="10"/>
      <c r="C10" s="8">
        <v>2</v>
      </c>
      <c r="D10" s="8">
        <v>1</v>
      </c>
      <c r="E10" s="8">
        <v>1</v>
      </c>
      <c r="F10" s="11"/>
      <c r="G10" s="8">
        <v>1</v>
      </c>
      <c r="H10" s="8">
        <v>3</v>
      </c>
      <c r="I10" s="8">
        <v>4</v>
      </c>
      <c r="J10" s="8">
        <v>2</v>
      </c>
      <c r="K10" s="8">
        <v>1</v>
      </c>
      <c r="L10" s="8">
        <v>2</v>
      </c>
      <c r="M10" s="8">
        <v>4</v>
      </c>
      <c r="N10" s="8">
        <v>3</v>
      </c>
      <c r="O10" s="8">
        <v>1</v>
      </c>
      <c r="P10" s="8">
        <v>4</v>
      </c>
      <c r="Q10" s="8">
        <v>2</v>
      </c>
      <c r="R10" s="8">
        <v>3</v>
      </c>
      <c r="S10" s="25">
        <v>4</v>
      </c>
      <c r="T10" s="11"/>
      <c r="U10" s="8">
        <v>5</v>
      </c>
      <c r="V10" s="11"/>
      <c r="W10" s="8">
        <v>2</v>
      </c>
      <c r="X10" s="8">
        <v>2</v>
      </c>
      <c r="Y10" s="8">
        <v>1</v>
      </c>
      <c r="Z10" s="8">
        <v>2</v>
      </c>
      <c r="AA10" s="11"/>
      <c r="AB10" s="11"/>
      <c r="AC10" s="8">
        <v>4</v>
      </c>
      <c r="AD10" s="8">
        <v>5</v>
      </c>
      <c r="AE10" s="11"/>
      <c r="AF10" s="8">
        <v>4</v>
      </c>
      <c r="AG10" s="8">
        <v>2</v>
      </c>
      <c r="AH10" s="11"/>
      <c r="AI10" s="8">
        <v>2</v>
      </c>
      <c r="AJ10" s="8">
        <v>2</v>
      </c>
      <c r="AK10" s="8">
        <v>1</v>
      </c>
      <c r="AL10" s="8">
        <v>3</v>
      </c>
      <c r="AM10" s="11"/>
      <c r="AN10" s="8">
        <v>2</v>
      </c>
      <c r="AO10" s="8">
        <v>3</v>
      </c>
      <c r="AP10" s="8">
        <v>4</v>
      </c>
      <c r="AQ10" s="8">
        <v>3</v>
      </c>
      <c r="AR10" s="8">
        <v>3</v>
      </c>
      <c r="AS10" s="11"/>
      <c r="AT10" s="8">
        <v>3</v>
      </c>
      <c r="AU10" s="11"/>
      <c r="AV10" s="8">
        <v>1</v>
      </c>
      <c r="AW10" s="8">
        <v>2</v>
      </c>
      <c r="AX10" s="8">
        <v>4</v>
      </c>
      <c r="AY10" s="11"/>
    </row>
    <row r="11" spans="1:256" ht="32" customHeight="1" x14ac:dyDescent="0.15">
      <c r="A11" s="6" t="s">
        <v>66</v>
      </c>
      <c r="B11" s="7">
        <v>1</v>
      </c>
      <c r="C11" s="11"/>
      <c r="D11" s="8">
        <v>2</v>
      </c>
      <c r="E11" s="11"/>
      <c r="F11" s="8">
        <v>1</v>
      </c>
      <c r="G11" s="8">
        <v>1</v>
      </c>
      <c r="H11" s="8">
        <v>3</v>
      </c>
      <c r="I11" s="8">
        <v>5</v>
      </c>
      <c r="J11" s="11"/>
      <c r="K11" s="11"/>
      <c r="L11" s="11"/>
      <c r="M11" s="8">
        <v>3</v>
      </c>
      <c r="N11" s="8">
        <v>4</v>
      </c>
      <c r="O11" s="8">
        <v>2</v>
      </c>
      <c r="P11" s="8">
        <v>5</v>
      </c>
      <c r="Q11" s="11"/>
      <c r="R11" s="8">
        <v>3</v>
      </c>
      <c r="S11" s="24"/>
      <c r="T11" s="8">
        <v>1</v>
      </c>
      <c r="U11" s="8">
        <v>3</v>
      </c>
      <c r="V11" s="8">
        <v>3</v>
      </c>
      <c r="W11" s="8">
        <v>4</v>
      </c>
      <c r="X11" s="8">
        <v>2</v>
      </c>
      <c r="Y11" s="8">
        <v>1</v>
      </c>
      <c r="Z11" s="8">
        <v>2</v>
      </c>
      <c r="AA11" s="8">
        <v>3</v>
      </c>
      <c r="AB11" s="8">
        <v>2</v>
      </c>
      <c r="AC11" s="8">
        <v>3</v>
      </c>
      <c r="AD11" s="8">
        <v>4</v>
      </c>
      <c r="AE11" s="8">
        <v>3</v>
      </c>
      <c r="AF11" s="8">
        <v>5</v>
      </c>
      <c r="AG11" s="11"/>
      <c r="AH11" s="8">
        <v>1</v>
      </c>
      <c r="AI11" s="11"/>
      <c r="AJ11" s="8">
        <v>3</v>
      </c>
      <c r="AK11" s="8">
        <v>1</v>
      </c>
      <c r="AL11" s="11"/>
      <c r="AM11" s="8">
        <v>2</v>
      </c>
      <c r="AN11" s="8">
        <v>2</v>
      </c>
      <c r="AO11" s="8">
        <v>4</v>
      </c>
      <c r="AP11" s="8">
        <v>5</v>
      </c>
      <c r="AQ11" s="8">
        <v>3</v>
      </c>
      <c r="AR11" s="11"/>
      <c r="AS11" s="8">
        <v>3</v>
      </c>
      <c r="AT11" s="8">
        <v>2</v>
      </c>
      <c r="AU11" s="8">
        <v>1</v>
      </c>
      <c r="AV11" s="8">
        <v>2</v>
      </c>
      <c r="AW11" s="8">
        <v>2</v>
      </c>
      <c r="AX11" s="8">
        <v>5</v>
      </c>
      <c r="AY11" s="8">
        <v>3</v>
      </c>
    </row>
    <row r="12" spans="1:256" ht="20" customHeight="1" x14ac:dyDescent="0.15">
      <c r="A12" s="6" t="s">
        <v>67</v>
      </c>
      <c r="B12" s="10"/>
      <c r="C12" s="8">
        <v>2</v>
      </c>
      <c r="D12" s="11"/>
      <c r="E12" s="8">
        <v>4</v>
      </c>
      <c r="F12" s="8">
        <v>5</v>
      </c>
      <c r="G12" s="8">
        <v>3</v>
      </c>
      <c r="H12" s="8">
        <v>2</v>
      </c>
      <c r="I12" s="8">
        <v>2</v>
      </c>
      <c r="J12" s="8">
        <v>2</v>
      </c>
      <c r="K12" s="8">
        <v>4</v>
      </c>
      <c r="L12" s="8">
        <v>3</v>
      </c>
      <c r="M12" s="8">
        <v>2</v>
      </c>
      <c r="N12" s="11"/>
      <c r="O12" s="8">
        <v>4</v>
      </c>
      <c r="P12" s="8">
        <v>1</v>
      </c>
      <c r="Q12" s="11"/>
      <c r="R12" s="8">
        <v>2</v>
      </c>
      <c r="S12" s="25">
        <v>1</v>
      </c>
      <c r="T12" s="8">
        <v>5</v>
      </c>
      <c r="U12" s="8">
        <v>2</v>
      </c>
      <c r="V12" s="8">
        <v>2</v>
      </c>
      <c r="W12" s="8">
        <v>3</v>
      </c>
      <c r="X12" s="8">
        <v>4</v>
      </c>
      <c r="Y12" s="8">
        <v>5</v>
      </c>
      <c r="Z12" s="11"/>
      <c r="AA12" s="8">
        <v>4</v>
      </c>
      <c r="AB12" s="11"/>
      <c r="AC12" s="8">
        <v>5</v>
      </c>
      <c r="AD12" s="8">
        <v>1</v>
      </c>
      <c r="AE12" s="11"/>
      <c r="AF12" s="11"/>
      <c r="AG12" s="8">
        <v>4</v>
      </c>
      <c r="AH12" s="8">
        <v>5</v>
      </c>
      <c r="AI12" s="8">
        <v>4</v>
      </c>
      <c r="AJ12" s="8">
        <v>2</v>
      </c>
      <c r="AK12" s="11"/>
      <c r="AL12" s="8">
        <v>2</v>
      </c>
      <c r="AM12" s="8">
        <v>3</v>
      </c>
      <c r="AN12" s="8">
        <v>3</v>
      </c>
      <c r="AO12" s="11"/>
      <c r="AP12" s="8">
        <v>2</v>
      </c>
      <c r="AQ12" s="11"/>
      <c r="AR12" s="8">
        <v>2</v>
      </c>
      <c r="AS12" s="8">
        <v>1</v>
      </c>
      <c r="AT12" s="8">
        <v>2</v>
      </c>
      <c r="AU12" s="8">
        <v>2</v>
      </c>
      <c r="AV12" s="8">
        <v>3</v>
      </c>
      <c r="AW12" s="8">
        <v>3</v>
      </c>
      <c r="AX12" s="8">
        <v>2</v>
      </c>
      <c r="AY12" s="8">
        <v>1</v>
      </c>
    </row>
    <row r="13" spans="1:256" ht="20" customHeight="1" x14ac:dyDescent="0.15">
      <c r="A13" s="6" t="s">
        <v>68</v>
      </c>
      <c r="B13" s="7">
        <v>5</v>
      </c>
      <c r="C13" s="11"/>
      <c r="D13" s="11"/>
      <c r="E13" s="8">
        <v>5</v>
      </c>
      <c r="F13" s="8">
        <v>5</v>
      </c>
      <c r="G13" s="8">
        <v>4</v>
      </c>
      <c r="H13" s="11"/>
      <c r="I13" s="8">
        <v>1</v>
      </c>
      <c r="J13" s="8">
        <v>2</v>
      </c>
      <c r="K13" s="8">
        <v>3</v>
      </c>
      <c r="L13" s="8">
        <v>2</v>
      </c>
      <c r="M13" s="11"/>
      <c r="N13" s="11"/>
      <c r="O13" s="8">
        <v>5</v>
      </c>
      <c r="P13" s="8">
        <v>1</v>
      </c>
      <c r="Q13" s="8">
        <v>2</v>
      </c>
      <c r="R13" s="11"/>
      <c r="S13" s="25">
        <v>1</v>
      </c>
      <c r="T13" s="11"/>
      <c r="U13" s="8">
        <v>3</v>
      </c>
      <c r="V13" s="8">
        <v>2</v>
      </c>
      <c r="W13" s="11"/>
      <c r="X13" s="8">
        <v>5</v>
      </c>
      <c r="Y13" s="11"/>
      <c r="Z13" s="8">
        <v>5</v>
      </c>
      <c r="AA13" s="11"/>
      <c r="AB13" s="8">
        <v>5</v>
      </c>
      <c r="AC13" s="11"/>
      <c r="AD13" s="11"/>
      <c r="AE13" s="8">
        <v>2</v>
      </c>
      <c r="AF13" s="8">
        <v>2</v>
      </c>
      <c r="AG13" s="8">
        <v>4</v>
      </c>
      <c r="AH13" s="11"/>
      <c r="AI13" s="8">
        <v>4</v>
      </c>
      <c r="AJ13" s="11"/>
      <c r="AK13" s="8">
        <v>1</v>
      </c>
      <c r="AL13" s="8">
        <v>3</v>
      </c>
      <c r="AM13" s="8">
        <v>2</v>
      </c>
      <c r="AN13" s="8">
        <v>3</v>
      </c>
      <c r="AO13" s="11"/>
      <c r="AP13" s="8">
        <v>1</v>
      </c>
      <c r="AQ13" s="8">
        <v>3</v>
      </c>
      <c r="AR13" s="8">
        <v>1</v>
      </c>
      <c r="AS13" s="11"/>
      <c r="AT13" s="8">
        <v>3</v>
      </c>
      <c r="AU13" s="8">
        <v>3</v>
      </c>
      <c r="AV13" s="11"/>
      <c r="AW13" s="8">
        <v>3</v>
      </c>
      <c r="AX13" s="11"/>
      <c r="AY13" s="8">
        <v>2</v>
      </c>
    </row>
    <row r="14" spans="1:256" ht="32" customHeight="1" x14ac:dyDescent="0.15">
      <c r="A14" s="6" t="s">
        <v>69</v>
      </c>
      <c r="B14" s="7">
        <v>4</v>
      </c>
      <c r="C14" s="11"/>
      <c r="D14" s="8">
        <v>2</v>
      </c>
      <c r="E14" s="8">
        <v>5</v>
      </c>
      <c r="F14" s="8">
        <v>4</v>
      </c>
      <c r="G14" s="8">
        <v>2</v>
      </c>
      <c r="H14" s="11"/>
      <c r="I14" s="11"/>
      <c r="J14" s="8">
        <v>1</v>
      </c>
      <c r="K14" s="11"/>
      <c r="L14" s="8">
        <v>1</v>
      </c>
      <c r="M14" s="8">
        <v>1</v>
      </c>
      <c r="N14" s="8">
        <v>2</v>
      </c>
      <c r="O14" s="11"/>
      <c r="P14" s="8">
        <v>1</v>
      </c>
      <c r="Q14" s="8">
        <v>4</v>
      </c>
      <c r="R14" s="8">
        <v>2</v>
      </c>
      <c r="S14" s="25">
        <v>1</v>
      </c>
      <c r="T14" s="8">
        <v>5</v>
      </c>
      <c r="U14" s="8">
        <v>2</v>
      </c>
      <c r="V14" s="8">
        <v>3</v>
      </c>
      <c r="W14" s="8">
        <v>2</v>
      </c>
      <c r="X14" s="11"/>
      <c r="Y14" s="8">
        <v>5</v>
      </c>
      <c r="Z14" s="8">
        <v>3</v>
      </c>
      <c r="AA14" s="8">
        <v>2</v>
      </c>
      <c r="AB14" s="8">
        <v>5</v>
      </c>
      <c r="AC14" s="8">
        <v>5</v>
      </c>
      <c r="AD14" s="8">
        <v>1</v>
      </c>
      <c r="AE14" s="8">
        <v>1</v>
      </c>
      <c r="AF14" s="8">
        <v>3</v>
      </c>
      <c r="AG14" s="8">
        <v>5</v>
      </c>
      <c r="AH14" s="11"/>
      <c r="AI14" s="8">
        <v>2</v>
      </c>
      <c r="AJ14" s="8">
        <v>5</v>
      </c>
      <c r="AK14" s="8">
        <v>2</v>
      </c>
      <c r="AL14" s="8">
        <v>3</v>
      </c>
      <c r="AM14" s="11"/>
      <c r="AN14" s="8">
        <v>4</v>
      </c>
      <c r="AO14" s="8">
        <v>1</v>
      </c>
      <c r="AP14" s="8">
        <v>1</v>
      </c>
      <c r="AQ14" s="11"/>
      <c r="AR14" s="8">
        <v>4</v>
      </c>
      <c r="AS14" s="8">
        <v>1</v>
      </c>
      <c r="AT14" s="8">
        <v>4</v>
      </c>
      <c r="AU14" s="11"/>
      <c r="AV14" s="8">
        <v>2</v>
      </c>
      <c r="AW14" s="8">
        <v>4</v>
      </c>
      <c r="AX14" s="8">
        <v>1</v>
      </c>
      <c r="AY14" s="8">
        <v>1</v>
      </c>
    </row>
    <row r="15" spans="1:256" ht="20" customHeight="1" x14ac:dyDescent="0.15">
      <c r="A15" s="6" t="s">
        <v>70</v>
      </c>
      <c r="B15" s="7">
        <v>2</v>
      </c>
      <c r="C15" s="11"/>
      <c r="D15" s="8">
        <v>3</v>
      </c>
      <c r="E15" s="8">
        <v>5</v>
      </c>
      <c r="F15" s="8">
        <v>2</v>
      </c>
      <c r="G15" s="11"/>
      <c r="H15" s="8">
        <v>2</v>
      </c>
      <c r="I15" s="8">
        <v>3</v>
      </c>
      <c r="J15" s="8">
        <v>3</v>
      </c>
      <c r="K15" s="8">
        <v>4</v>
      </c>
      <c r="L15" s="11"/>
      <c r="M15" s="8">
        <v>1</v>
      </c>
      <c r="N15" s="8">
        <v>4</v>
      </c>
      <c r="O15" s="11"/>
      <c r="P15" s="11"/>
      <c r="Q15" s="8">
        <v>3</v>
      </c>
      <c r="R15" s="8">
        <v>3</v>
      </c>
      <c r="S15" s="25">
        <v>3</v>
      </c>
      <c r="T15" s="8">
        <v>4</v>
      </c>
      <c r="U15" s="8">
        <v>4</v>
      </c>
      <c r="V15" s="11"/>
      <c r="W15" s="8">
        <v>2</v>
      </c>
      <c r="X15" s="8">
        <v>4</v>
      </c>
      <c r="Y15" s="8">
        <v>3</v>
      </c>
      <c r="Z15" s="8">
        <v>2</v>
      </c>
      <c r="AA15" s="8">
        <v>4</v>
      </c>
      <c r="AB15" s="8">
        <v>3</v>
      </c>
      <c r="AC15" s="8">
        <v>5</v>
      </c>
      <c r="AD15" s="11"/>
      <c r="AE15" s="8">
        <v>4</v>
      </c>
      <c r="AF15" s="8">
        <v>5</v>
      </c>
      <c r="AG15" s="8">
        <v>4</v>
      </c>
      <c r="AH15" s="8">
        <v>4</v>
      </c>
      <c r="AI15" s="11"/>
      <c r="AJ15" s="8">
        <v>1</v>
      </c>
      <c r="AK15" s="8">
        <v>1</v>
      </c>
      <c r="AL15" s="8">
        <v>2</v>
      </c>
      <c r="AM15" s="8">
        <v>2</v>
      </c>
      <c r="AN15" s="8">
        <v>2</v>
      </c>
      <c r="AO15" s="8">
        <v>1</v>
      </c>
      <c r="AP15" s="11"/>
      <c r="AQ15" s="8">
        <v>5</v>
      </c>
      <c r="AR15" s="8">
        <v>3</v>
      </c>
      <c r="AS15" s="8">
        <v>2</v>
      </c>
      <c r="AT15" s="11"/>
      <c r="AU15" s="8">
        <v>4</v>
      </c>
      <c r="AV15" s="8">
        <v>2</v>
      </c>
      <c r="AW15" s="11"/>
      <c r="AX15" s="8">
        <v>5</v>
      </c>
      <c r="AY15" s="8">
        <v>2</v>
      </c>
    </row>
    <row r="16" spans="1:256" ht="32" customHeight="1" x14ac:dyDescent="0.15">
      <c r="A16" s="6" t="s">
        <v>71</v>
      </c>
      <c r="B16" s="7">
        <v>3</v>
      </c>
      <c r="C16" s="8">
        <v>4</v>
      </c>
      <c r="D16" s="8">
        <v>4</v>
      </c>
      <c r="E16" s="8">
        <v>4</v>
      </c>
      <c r="F16" s="8">
        <v>2</v>
      </c>
      <c r="G16" s="8">
        <v>2</v>
      </c>
      <c r="H16" s="8">
        <v>4</v>
      </c>
      <c r="I16" s="8">
        <v>2</v>
      </c>
      <c r="J16" s="8">
        <v>1</v>
      </c>
      <c r="K16" s="11"/>
      <c r="L16" s="8">
        <v>4</v>
      </c>
      <c r="M16" s="8">
        <v>2</v>
      </c>
      <c r="N16" s="8">
        <v>4</v>
      </c>
      <c r="O16" s="8">
        <v>1</v>
      </c>
      <c r="P16" s="8">
        <v>1</v>
      </c>
      <c r="Q16" s="11"/>
      <c r="R16" s="8">
        <v>3</v>
      </c>
      <c r="S16" s="24"/>
      <c r="T16" s="8">
        <v>3</v>
      </c>
      <c r="U16" s="11"/>
      <c r="V16" s="8">
        <v>4</v>
      </c>
      <c r="W16" s="8">
        <v>3</v>
      </c>
      <c r="X16" s="8">
        <v>2</v>
      </c>
      <c r="Y16" s="8">
        <v>2</v>
      </c>
      <c r="Z16" s="11"/>
      <c r="AA16" s="8">
        <v>4</v>
      </c>
      <c r="AB16" s="11"/>
      <c r="AC16" s="8">
        <v>3</v>
      </c>
      <c r="AD16" s="8">
        <v>1</v>
      </c>
      <c r="AE16" s="11"/>
      <c r="AF16" s="8">
        <v>2</v>
      </c>
      <c r="AG16" s="8">
        <v>2</v>
      </c>
      <c r="AH16" s="11"/>
      <c r="AI16" s="8">
        <v>2</v>
      </c>
      <c r="AJ16" s="8">
        <v>1</v>
      </c>
      <c r="AK16" s="11"/>
      <c r="AL16" s="8">
        <v>4</v>
      </c>
      <c r="AM16" s="8">
        <v>4</v>
      </c>
      <c r="AN16" s="8">
        <v>4</v>
      </c>
      <c r="AO16" s="11"/>
      <c r="AP16" s="8">
        <v>1</v>
      </c>
      <c r="AQ16" s="11"/>
      <c r="AR16" s="8">
        <v>2</v>
      </c>
      <c r="AS16" s="8">
        <v>1</v>
      </c>
      <c r="AT16" s="8">
        <v>3</v>
      </c>
      <c r="AU16" s="8">
        <v>4</v>
      </c>
      <c r="AV16" s="8">
        <v>4</v>
      </c>
      <c r="AW16" s="8">
        <v>3</v>
      </c>
      <c r="AX16" s="8">
        <v>2</v>
      </c>
      <c r="AY16" s="8">
        <v>3</v>
      </c>
    </row>
    <row r="17" spans="1:51" ht="20" customHeight="1" x14ac:dyDescent="0.15">
      <c r="A17" s="6" t="s">
        <v>72</v>
      </c>
      <c r="B17" s="10"/>
      <c r="C17" s="8">
        <v>5</v>
      </c>
      <c r="D17" s="8">
        <v>4</v>
      </c>
      <c r="E17" s="8">
        <v>3</v>
      </c>
      <c r="F17" s="8">
        <v>5</v>
      </c>
      <c r="G17" s="8">
        <v>5</v>
      </c>
      <c r="H17" s="8">
        <v>3</v>
      </c>
      <c r="I17" s="8">
        <v>4</v>
      </c>
      <c r="J17" s="11"/>
      <c r="K17" s="8">
        <v>4</v>
      </c>
      <c r="L17" s="8">
        <v>3</v>
      </c>
      <c r="M17" s="8">
        <v>3</v>
      </c>
      <c r="N17" s="11"/>
      <c r="O17" s="8">
        <v>4</v>
      </c>
      <c r="P17" s="8">
        <v>2</v>
      </c>
      <c r="Q17" s="8">
        <v>4</v>
      </c>
      <c r="R17" s="8">
        <v>5</v>
      </c>
      <c r="S17" s="25">
        <v>4</v>
      </c>
      <c r="T17" s="8">
        <v>5</v>
      </c>
      <c r="U17" s="8">
        <v>3</v>
      </c>
      <c r="V17" s="11"/>
      <c r="W17" s="11"/>
      <c r="X17" s="11"/>
      <c r="Y17" s="8">
        <v>2</v>
      </c>
      <c r="Z17" s="8">
        <v>2</v>
      </c>
      <c r="AA17" s="8">
        <v>4</v>
      </c>
      <c r="AB17" s="8">
        <v>5</v>
      </c>
      <c r="AC17" s="11"/>
      <c r="AD17" s="8">
        <v>5</v>
      </c>
      <c r="AE17" s="8">
        <v>4</v>
      </c>
      <c r="AF17" s="8">
        <v>3</v>
      </c>
      <c r="AG17" s="8">
        <v>5</v>
      </c>
      <c r="AH17" s="8">
        <v>5</v>
      </c>
      <c r="AI17" s="8">
        <v>1</v>
      </c>
      <c r="AJ17" s="8">
        <v>5</v>
      </c>
      <c r="AK17" s="8">
        <v>5</v>
      </c>
      <c r="AL17" s="11"/>
      <c r="AM17" s="8">
        <v>3</v>
      </c>
      <c r="AN17" s="8">
        <v>4</v>
      </c>
      <c r="AO17" s="8">
        <v>3</v>
      </c>
      <c r="AP17" s="8">
        <v>5</v>
      </c>
      <c r="AQ17" s="8">
        <v>2</v>
      </c>
      <c r="AR17" s="11"/>
      <c r="AS17" s="11"/>
      <c r="AT17" s="8">
        <v>4</v>
      </c>
      <c r="AU17" s="8">
        <v>4</v>
      </c>
      <c r="AV17" s="11"/>
      <c r="AW17" s="8">
        <v>4</v>
      </c>
      <c r="AX17" s="8">
        <v>5</v>
      </c>
      <c r="AY17" s="11"/>
    </row>
    <row r="18" spans="1:51" ht="20" customHeight="1" x14ac:dyDescent="0.15">
      <c r="A18" s="6" t="s">
        <v>73</v>
      </c>
      <c r="B18" s="7">
        <v>2</v>
      </c>
      <c r="C18" s="8">
        <v>4</v>
      </c>
      <c r="D18" s="8">
        <v>5</v>
      </c>
      <c r="E18" s="11"/>
      <c r="F18" s="11"/>
      <c r="G18" s="8">
        <v>1</v>
      </c>
      <c r="H18" s="11"/>
      <c r="I18" s="11"/>
      <c r="J18" s="8">
        <v>4</v>
      </c>
      <c r="K18" s="8">
        <v>2</v>
      </c>
      <c r="L18" s="8">
        <v>4</v>
      </c>
      <c r="M18" s="8">
        <v>4</v>
      </c>
      <c r="N18" s="8">
        <v>2</v>
      </c>
      <c r="O18" s="11"/>
      <c r="P18" s="8">
        <v>1</v>
      </c>
      <c r="Q18" s="11"/>
      <c r="R18" s="8">
        <v>3</v>
      </c>
      <c r="S18" s="25">
        <v>5</v>
      </c>
      <c r="T18" s="11"/>
      <c r="U18" s="8">
        <v>2</v>
      </c>
      <c r="V18" s="8">
        <v>4</v>
      </c>
      <c r="W18" s="8">
        <v>5</v>
      </c>
      <c r="X18" s="8">
        <v>1</v>
      </c>
      <c r="Y18" s="11"/>
      <c r="Z18" s="11"/>
      <c r="AA18" s="8">
        <v>5</v>
      </c>
      <c r="AB18" s="11"/>
      <c r="AC18" s="8">
        <v>1</v>
      </c>
      <c r="AD18" s="11"/>
      <c r="AE18" s="11"/>
      <c r="AF18" s="8">
        <v>4</v>
      </c>
      <c r="AG18" s="11"/>
      <c r="AH18" s="8">
        <v>1</v>
      </c>
      <c r="AI18" s="11"/>
      <c r="AJ18" s="8">
        <v>2</v>
      </c>
      <c r="AK18" s="11"/>
      <c r="AL18" s="8">
        <v>2</v>
      </c>
      <c r="AM18" s="8">
        <v>1</v>
      </c>
      <c r="AN18" s="8">
        <v>3</v>
      </c>
      <c r="AO18" s="11"/>
      <c r="AP18" s="11"/>
      <c r="AQ18" s="11"/>
      <c r="AR18" s="8">
        <v>4</v>
      </c>
      <c r="AS18" s="8">
        <v>1</v>
      </c>
      <c r="AT18" s="8">
        <v>2</v>
      </c>
      <c r="AU18" s="11"/>
      <c r="AV18" s="8">
        <v>3</v>
      </c>
      <c r="AW18" s="11"/>
      <c r="AX18" s="8">
        <v>2</v>
      </c>
      <c r="AY18" s="8">
        <v>4</v>
      </c>
    </row>
    <row r="19" spans="1:51" ht="20" customHeight="1" x14ac:dyDescent="0.15">
      <c r="A19" s="6" t="s">
        <v>74</v>
      </c>
      <c r="B19" s="7">
        <v>1</v>
      </c>
      <c r="C19" s="8">
        <v>3</v>
      </c>
      <c r="D19" s="8">
        <v>4</v>
      </c>
      <c r="E19" s="8">
        <v>1</v>
      </c>
      <c r="F19" s="8">
        <v>2</v>
      </c>
      <c r="G19" s="8">
        <v>3</v>
      </c>
      <c r="H19" s="8">
        <v>5</v>
      </c>
      <c r="I19" s="8">
        <v>5</v>
      </c>
      <c r="J19" s="8">
        <v>3</v>
      </c>
      <c r="K19" s="8">
        <v>2</v>
      </c>
      <c r="L19" s="11"/>
      <c r="M19" s="8">
        <v>5</v>
      </c>
      <c r="N19" s="8">
        <v>2</v>
      </c>
      <c r="O19" s="8">
        <v>1</v>
      </c>
      <c r="P19" s="11"/>
      <c r="Q19" s="8">
        <v>3</v>
      </c>
      <c r="R19" s="11"/>
      <c r="S19" s="25">
        <v>3</v>
      </c>
      <c r="T19" s="8">
        <v>1</v>
      </c>
      <c r="U19" s="8">
        <v>5</v>
      </c>
      <c r="V19" s="11"/>
      <c r="W19" s="8">
        <v>4</v>
      </c>
      <c r="X19" s="8">
        <v>2</v>
      </c>
      <c r="Y19" s="8">
        <v>1</v>
      </c>
      <c r="Z19" s="8">
        <v>4</v>
      </c>
      <c r="AA19" s="11"/>
      <c r="AB19" s="8">
        <v>3</v>
      </c>
      <c r="AC19" s="8">
        <v>3</v>
      </c>
      <c r="AD19" s="8">
        <v>5</v>
      </c>
      <c r="AE19" s="11"/>
      <c r="AF19" s="8">
        <v>5</v>
      </c>
      <c r="AG19" s="8">
        <v>2</v>
      </c>
      <c r="AH19" s="11"/>
      <c r="AI19" s="8">
        <v>3</v>
      </c>
      <c r="AJ19" s="8">
        <v>2</v>
      </c>
      <c r="AK19" s="8">
        <v>5</v>
      </c>
      <c r="AL19" s="8">
        <v>1</v>
      </c>
      <c r="AM19" s="8">
        <v>1</v>
      </c>
      <c r="AN19" s="11"/>
      <c r="AO19" s="8">
        <v>5</v>
      </c>
      <c r="AP19" s="8">
        <v>5</v>
      </c>
      <c r="AQ19" s="8">
        <v>2</v>
      </c>
      <c r="AR19" s="8">
        <v>3</v>
      </c>
      <c r="AS19" s="8">
        <v>2</v>
      </c>
      <c r="AT19" s="11"/>
      <c r="AU19" s="8">
        <v>3</v>
      </c>
      <c r="AV19" s="8">
        <v>3</v>
      </c>
      <c r="AW19" s="8">
        <v>2</v>
      </c>
      <c r="AX19" s="8">
        <v>4</v>
      </c>
      <c r="AY19" s="8">
        <v>3</v>
      </c>
    </row>
    <row r="20" spans="1:51" ht="44" customHeight="1" x14ac:dyDescent="0.15">
      <c r="A20" s="6" t="s">
        <v>75</v>
      </c>
      <c r="B20" s="7">
        <v>4</v>
      </c>
      <c r="C20" s="8">
        <v>4</v>
      </c>
      <c r="D20" s="8">
        <v>5</v>
      </c>
      <c r="E20" s="8">
        <v>2</v>
      </c>
      <c r="F20" s="8">
        <v>4</v>
      </c>
      <c r="G20" s="8">
        <v>5</v>
      </c>
      <c r="H20" s="11"/>
      <c r="I20" s="8">
        <v>2</v>
      </c>
      <c r="J20" s="8">
        <v>5</v>
      </c>
      <c r="K20" s="8">
        <v>5</v>
      </c>
      <c r="L20" s="8">
        <v>5</v>
      </c>
      <c r="M20" s="11"/>
      <c r="N20" s="8">
        <v>4</v>
      </c>
      <c r="O20" s="8">
        <v>3</v>
      </c>
      <c r="P20" s="11"/>
      <c r="Q20" s="8">
        <v>4</v>
      </c>
      <c r="R20" s="8">
        <v>5</v>
      </c>
      <c r="S20" s="24"/>
      <c r="T20" s="8">
        <v>4</v>
      </c>
      <c r="U20" s="8">
        <v>4</v>
      </c>
      <c r="V20" s="8">
        <v>4</v>
      </c>
      <c r="W20" s="11"/>
      <c r="X20" s="8">
        <v>3</v>
      </c>
      <c r="Y20" s="8">
        <v>3</v>
      </c>
      <c r="Z20" s="8">
        <v>4</v>
      </c>
      <c r="AA20" s="8">
        <v>3</v>
      </c>
      <c r="AB20" s="8">
        <v>2</v>
      </c>
      <c r="AC20" s="8">
        <v>4</v>
      </c>
      <c r="AD20" s="11"/>
      <c r="AE20" s="8">
        <v>4</v>
      </c>
      <c r="AF20" s="8">
        <v>3</v>
      </c>
      <c r="AG20" s="11"/>
      <c r="AH20" s="8">
        <v>2</v>
      </c>
      <c r="AI20" s="8">
        <v>4</v>
      </c>
      <c r="AJ20" s="8">
        <v>5</v>
      </c>
      <c r="AK20" s="8">
        <v>5</v>
      </c>
      <c r="AL20" s="11"/>
      <c r="AM20" s="8">
        <v>2</v>
      </c>
      <c r="AN20" s="8">
        <v>2</v>
      </c>
      <c r="AO20" s="8">
        <v>4</v>
      </c>
      <c r="AP20" s="11"/>
      <c r="AQ20" s="11"/>
      <c r="AR20" s="8">
        <v>2</v>
      </c>
      <c r="AS20" s="8">
        <v>3</v>
      </c>
      <c r="AT20" s="8">
        <v>3</v>
      </c>
      <c r="AU20" s="11"/>
      <c r="AV20" s="8">
        <v>4</v>
      </c>
      <c r="AW20" s="8">
        <v>4</v>
      </c>
      <c r="AX20" s="8">
        <v>4</v>
      </c>
      <c r="AY20" s="11"/>
    </row>
    <row r="21" spans="1:51" ht="20" customHeight="1" x14ac:dyDescent="0.15">
      <c r="A21" s="6" t="s">
        <v>76</v>
      </c>
      <c r="B21" s="7">
        <v>5</v>
      </c>
      <c r="C21" s="8">
        <v>5</v>
      </c>
      <c r="D21" s="8">
        <v>3</v>
      </c>
      <c r="E21" s="8">
        <v>2</v>
      </c>
      <c r="F21" s="8">
        <v>5</v>
      </c>
      <c r="G21" s="11"/>
      <c r="H21" s="8">
        <v>2</v>
      </c>
      <c r="I21" s="8">
        <v>3</v>
      </c>
      <c r="J21" s="11"/>
      <c r="K21" s="8">
        <v>5</v>
      </c>
      <c r="L21" s="8">
        <v>3</v>
      </c>
      <c r="M21" s="11"/>
      <c r="N21" s="11"/>
      <c r="O21" s="8">
        <v>4</v>
      </c>
      <c r="P21" s="8">
        <v>1</v>
      </c>
      <c r="Q21" s="8">
        <v>4</v>
      </c>
      <c r="R21" s="11"/>
      <c r="S21" s="25">
        <v>3</v>
      </c>
      <c r="T21" s="8">
        <v>5</v>
      </c>
      <c r="U21" s="8">
        <v>2</v>
      </c>
      <c r="V21" s="11"/>
      <c r="W21" s="8">
        <v>3</v>
      </c>
      <c r="X21" s="8">
        <v>2</v>
      </c>
      <c r="Y21" s="11"/>
      <c r="Z21" s="8">
        <v>3</v>
      </c>
      <c r="AA21" s="8">
        <v>2</v>
      </c>
      <c r="AB21" s="8">
        <v>5</v>
      </c>
      <c r="AC21" s="11"/>
      <c r="AD21" s="8">
        <v>1</v>
      </c>
      <c r="AE21" s="8">
        <v>2</v>
      </c>
      <c r="AF21" s="11"/>
      <c r="AG21" s="8">
        <v>5</v>
      </c>
      <c r="AH21" s="8">
        <v>3</v>
      </c>
      <c r="AI21" s="11"/>
      <c r="AJ21" s="8">
        <v>5</v>
      </c>
      <c r="AK21" s="8">
        <v>5</v>
      </c>
      <c r="AL21" s="8">
        <v>4</v>
      </c>
      <c r="AM21" s="8">
        <v>2</v>
      </c>
      <c r="AN21" s="11"/>
      <c r="AO21" s="8">
        <v>3</v>
      </c>
      <c r="AP21" s="8">
        <v>5</v>
      </c>
      <c r="AQ21" s="8">
        <v>3</v>
      </c>
      <c r="AR21" s="11"/>
      <c r="AS21" s="8">
        <v>1</v>
      </c>
      <c r="AT21" s="8">
        <v>4</v>
      </c>
      <c r="AU21" s="8">
        <v>5</v>
      </c>
      <c r="AV21" s="11"/>
      <c r="AW21" s="8">
        <v>4</v>
      </c>
      <c r="AX21" s="8">
        <v>2</v>
      </c>
      <c r="AY21" s="8">
        <v>4</v>
      </c>
    </row>
  </sheetData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B9D7-F1E3-B647-9A15-9D6765A42F16}">
  <sheetPr>
    <pageSetUpPr fitToPage="1"/>
  </sheetPr>
  <dimension ref="A1:AY52"/>
  <sheetViews>
    <sheetView showGridLines="0" workbookViewId="0">
      <pane xSplit="1" ySplit="2" topLeftCell="K3" activePane="bottomRight" state="frozen"/>
      <selection pane="topRight"/>
      <selection pane="bottomLeft"/>
      <selection pane="bottomRight" activeCell="S23" sqref="S23"/>
    </sheetView>
  </sheetViews>
  <sheetFormatPr baseColWidth="10" defaultColWidth="16.33203125" defaultRowHeight="20" customHeight="1" x14ac:dyDescent="0.15"/>
  <cols>
    <col min="1" max="8" width="16.33203125" style="27" customWidth="1"/>
    <col min="9" max="9" width="16.33203125" style="43" customWidth="1"/>
    <col min="10" max="18" width="16.33203125" style="27" customWidth="1"/>
    <col min="19" max="19" width="16.33203125" style="39" customWidth="1"/>
    <col min="20" max="256" width="16.33203125" style="27" customWidth="1"/>
    <col min="257" max="16384" width="16.33203125" style="27"/>
  </cols>
  <sheetData>
    <row r="1" spans="1:51" ht="27.75" customHeight="1" x14ac:dyDescent="0.1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</row>
    <row r="2" spans="1:51" ht="32.25" customHeight="1" x14ac:dyDescent="0.15">
      <c r="A2" s="35"/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40" t="s">
        <v>8</v>
      </c>
      <c r="J2" s="34" t="s">
        <v>9</v>
      </c>
      <c r="K2" s="34" t="s">
        <v>10</v>
      </c>
      <c r="L2" s="34" t="s">
        <v>11</v>
      </c>
      <c r="M2" s="34" t="s">
        <v>12</v>
      </c>
      <c r="N2" s="34" t="s">
        <v>13</v>
      </c>
      <c r="O2" s="34" t="s">
        <v>14</v>
      </c>
      <c r="P2" s="34" t="s">
        <v>15</v>
      </c>
      <c r="Q2" s="34" t="s">
        <v>16</v>
      </c>
      <c r="R2" s="34" t="s">
        <v>17</v>
      </c>
      <c r="S2" s="36" t="s">
        <v>18</v>
      </c>
      <c r="T2" s="34" t="s">
        <v>19</v>
      </c>
      <c r="U2" s="34" t="s">
        <v>20</v>
      </c>
      <c r="V2" s="34" t="s">
        <v>21</v>
      </c>
      <c r="W2" s="34" t="s">
        <v>22</v>
      </c>
      <c r="X2" s="34" t="s">
        <v>23</v>
      </c>
      <c r="Y2" s="34" t="s">
        <v>24</v>
      </c>
      <c r="Z2" s="34" t="s">
        <v>25</v>
      </c>
      <c r="AA2" s="34" t="s">
        <v>26</v>
      </c>
      <c r="AB2" s="34" t="s">
        <v>27</v>
      </c>
      <c r="AC2" s="34" t="s">
        <v>28</v>
      </c>
      <c r="AD2" s="34" t="s">
        <v>29</v>
      </c>
      <c r="AE2" s="34" t="s">
        <v>30</v>
      </c>
      <c r="AF2" s="34" t="s">
        <v>31</v>
      </c>
      <c r="AG2" s="34" t="s">
        <v>32</v>
      </c>
      <c r="AH2" s="34" t="s">
        <v>33</v>
      </c>
      <c r="AI2" s="34" t="s">
        <v>34</v>
      </c>
      <c r="AJ2" s="34" t="s">
        <v>35</v>
      </c>
      <c r="AK2" s="34" t="s">
        <v>36</v>
      </c>
      <c r="AL2" s="34" t="s">
        <v>37</v>
      </c>
      <c r="AM2" s="34" t="s">
        <v>38</v>
      </c>
      <c r="AN2" s="34" t="s">
        <v>39</v>
      </c>
      <c r="AO2" s="34" t="s">
        <v>40</v>
      </c>
      <c r="AP2" s="34" t="s">
        <v>41</v>
      </c>
      <c r="AQ2" s="34" t="s">
        <v>42</v>
      </c>
      <c r="AR2" s="34" t="s">
        <v>43</v>
      </c>
      <c r="AS2" s="34" t="s">
        <v>44</v>
      </c>
      <c r="AT2" s="34" t="s">
        <v>45</v>
      </c>
      <c r="AU2" s="34" t="s">
        <v>46</v>
      </c>
      <c r="AV2" s="34" t="s">
        <v>47</v>
      </c>
      <c r="AW2" s="34" t="s">
        <v>48</v>
      </c>
      <c r="AX2" s="34" t="s">
        <v>49</v>
      </c>
      <c r="AY2" s="34" t="s">
        <v>50</v>
      </c>
    </row>
    <row r="3" spans="1:51" ht="20.25" customHeight="1" x14ac:dyDescent="0.15">
      <c r="A3" s="33" t="s">
        <v>51</v>
      </c>
      <c r="B3" s="32">
        <f>CORREL('DATASET 25%'!$B2:$B21,'DATASET 25%'!B2:B21)</f>
        <v>1</v>
      </c>
      <c r="C3" s="31">
        <f>CORREL('DATASET 25%'!$B2:$B21,'DATASET 25%'!C2:C21)</f>
        <v>0.74406978620509445</v>
      </c>
      <c r="D3" s="31">
        <f>CORREL('DATASET 25%'!$B2:$B21,'DATASET 25%'!D2:D21)</f>
        <v>-0.22334637879725971</v>
      </c>
      <c r="E3" s="31">
        <f>CORREL('DATASET 25%'!$B2:$B21,'DATASET 25%'!E2:E21)</f>
        <v>0.53435131064217645</v>
      </c>
      <c r="F3" s="31">
        <f>CORREL('DATASET 25%'!$B2:$B21,'DATASET 25%'!F2:F21)</f>
        <v>0.87487080484817437</v>
      </c>
      <c r="G3" s="31">
        <f>CORREL('DATASET 25%'!$B2:$B21,'DATASET 25%'!G2:G21)</f>
        <v>0.34684398780964798</v>
      </c>
      <c r="H3" s="31">
        <f>CORREL('DATASET 25%'!$B2:$B21,'DATASET 25%'!H2:H21)</f>
        <v>-0.19701804152184726</v>
      </c>
      <c r="I3" s="41">
        <f>CORREL('DATASET 25%'!$B2:$B21,'DATASET 25%'!I2:I21)</f>
        <v>-0.78470602571793069</v>
      </c>
      <c r="J3" s="31">
        <f>CORREL('DATASET 25%'!$B2:$B21,'DATASET 25%'!J2:J21)</f>
        <v>-7.5697211155378516E-2</v>
      </c>
      <c r="K3" s="31">
        <f>CORREL('DATASET 25%'!$B2:$B21,'DATASET 25%'!K2:K21)</f>
        <v>0.66436383882991967</v>
      </c>
      <c r="L3" s="31">
        <f>CORREL('DATASET 25%'!$B2:$B21,'DATASET 25%'!L2:L21)</f>
        <v>-0.22507034547615984</v>
      </c>
      <c r="M3" s="31">
        <f>CORREL('DATASET 25%'!$B2:$B21,'DATASET 25%'!M2:M21)</f>
        <v>-0.68452409574317996</v>
      </c>
      <c r="N3" s="31">
        <f>CORREL('DATASET 25%'!$B2:$B21,'DATASET 25%'!N2:N21)</f>
        <v>-0.1857308236232342</v>
      </c>
      <c r="O3" s="31">
        <f>CORREL('DATASET 25%'!$B2:$B21,'DATASET 25%'!O2:O21)</f>
        <v>0.83542430609219964</v>
      </c>
      <c r="P3" s="31">
        <f>CORREL('DATASET 25%'!$B2:$B21,'DATASET 25%'!P2:P21)</f>
        <v>-0.703179938078765</v>
      </c>
      <c r="Q3" s="31">
        <f>CORREL('DATASET 25%'!$B2:$B21,'DATASET 25%'!Q2:Q21)</f>
        <v>4.7036043419179864E-2</v>
      </c>
      <c r="R3" s="31">
        <f>CORREL('DATASET 25%'!$B2:$B21,'DATASET 25%'!R2:R21)</f>
        <v>-0.25057829424729872</v>
      </c>
      <c r="S3" s="37">
        <f>CORREL('DATASET 25%'!$B2:$B21,'DATASET 25%'!S2:S21)</f>
        <v>-0.61819859253848075</v>
      </c>
      <c r="T3" s="31">
        <f>CORREL('DATASET 25%'!$B2:$B21,'DATASET 25%'!T2:T21)</f>
        <v>0.92069431331786289</v>
      </c>
      <c r="U3" s="31">
        <f>CORREL('DATASET 25%'!$B2:$B21,'DATASET 25%'!U2:U21)</f>
        <v>-0.36626597635554642</v>
      </c>
      <c r="V3" s="31">
        <f>CORREL('DATASET 25%'!$B2:$B21,'DATASET 25%'!V2:V21)</f>
        <v>-0.28252896560880658</v>
      </c>
      <c r="W3" s="31">
        <f>CORREL('DATASET 25%'!$B2:$B21,'DATASET 25%'!W2:W21)</f>
        <v>-0.4691588688636999</v>
      </c>
      <c r="X3" s="31">
        <f>CORREL('DATASET 25%'!$B2:$B21,'DATASET 25%'!X2:X21)</f>
        <v>0.651989708285449</v>
      </c>
      <c r="Y3" s="31">
        <f>CORREL('DATASET 25%'!$B2:$B21,'DATASET 25%'!Y2:Y21)</f>
        <v>0.87454588700340707</v>
      </c>
      <c r="Z3" s="31">
        <f>CORREL('DATASET 25%'!$B2:$B21,'DATASET 25%'!Z2:Z21)</f>
        <v>0.55669003200830536</v>
      </c>
      <c r="AA3" s="31">
        <f>CORREL('DATASET 25%'!$B2:$B21,'DATASET 25%'!AA2:AA21)</f>
        <v>-0.26297183864754764</v>
      </c>
      <c r="AB3" s="31">
        <f>CORREL('DATASET 25%'!$B2:$B21,'DATASET 25%'!AB2:AB21)</f>
        <v>0.72536057184249625</v>
      </c>
      <c r="AC3" s="31">
        <f>CORREL('DATASET 25%'!$B2:$B21,'DATASET 25%'!AC2:AC21)</f>
        <v>0.25361874927309169</v>
      </c>
      <c r="AD3" s="31">
        <f>CORREL('DATASET 25%'!$B2:$B21,'DATASET 25%'!AD2:AD21)</f>
        <v>-0.31252705510589024</v>
      </c>
      <c r="AE3" s="31">
        <f>CORREL('DATASET 25%'!$B2:$B21,'DATASET 25%'!AE2:AE21)</f>
        <v>-0.65486725663716827</v>
      </c>
      <c r="AF3" s="31">
        <f>CORREL('DATASET 25%'!$B2:$B21,'DATASET 25%'!AF2:AF21)</f>
        <v>-0.60723270944657526</v>
      </c>
      <c r="AG3" s="31">
        <f>CORREL('DATASET 25%'!$B2:$B21,'DATASET 25%'!AG2:AG21)</f>
        <v>0.60702355276851894</v>
      </c>
      <c r="AH3" s="31">
        <f>CORREL('DATASET 25%'!$B2:$B21,'DATASET 25%'!AH2:AH21)</f>
        <v>0.34196363905360266</v>
      </c>
      <c r="AI3" s="31">
        <f>CORREL('DATASET 25%'!$B2:$B21,'DATASET 25%'!AI2:AI21)</f>
        <v>-0.21755818169982738</v>
      </c>
      <c r="AJ3" s="31">
        <f>CORREL('DATASET 25%'!$B2:$B21,'DATASET 25%'!AJ2:AJ21)</f>
        <v>0.6670561712173172</v>
      </c>
      <c r="AK3" s="31">
        <f>CORREL('DATASET 25%'!$B2:$B21,'DATASET 25%'!AK2:AK21)</f>
        <v>0.21177207712366192</v>
      </c>
      <c r="AL3" s="31">
        <f>CORREL('DATASET 25%'!$B2:$B21,'DATASET 25%'!AL2:AL21)</f>
        <v>0.57249230093014936</v>
      </c>
      <c r="AM3" s="31">
        <f>CORREL('DATASET 25%'!$B2:$B21,'DATASET 25%'!AM2:AM21)</f>
        <v>0.54594072578591579</v>
      </c>
      <c r="AN3" s="31">
        <f>CORREL('DATASET 25%'!$B2:$B21,'DATASET 25%'!AN2:AN21)</f>
        <v>-6.956083436402527E-2</v>
      </c>
      <c r="AO3" s="31">
        <f>CORREL('DATASET 25%'!$B2:$B21,'DATASET 25%'!AO2:AO21)</f>
        <v>-0.31195956247511047</v>
      </c>
      <c r="AP3" s="31">
        <f>CORREL('DATASET 25%'!$B2:$B21,'DATASET 25%'!AP2:AP21)</f>
        <v>-0.42852517434457305</v>
      </c>
      <c r="AQ3" s="31">
        <f>CORREL('DATASET 25%'!$B2:$B21,'DATASET 25%'!AQ2:AQ21)</f>
        <v>-0.13840913308956659</v>
      </c>
      <c r="AR3" s="31">
        <f>CORREL('DATASET 25%'!$B2:$B21,'DATASET 25%'!AR2:AR21)</f>
        <v>-0.13341421495031577</v>
      </c>
      <c r="AS3" s="31">
        <f>CORREL('DATASET 25%'!$B2:$B21,'DATASET 25%'!AS2:AS21)</f>
        <v>-0.48283055348604498</v>
      </c>
      <c r="AT3" s="31">
        <f>CORREL('DATASET 25%'!$B2:$B21,'DATASET 25%'!AT2:AT21)</f>
        <v>0.82366158212231866</v>
      </c>
      <c r="AU3" s="31">
        <f>CORREL('DATASET 25%'!$B2:$B21,'DATASET 25%'!AU2:AU21)</f>
        <v>0.31017722762389105</v>
      </c>
      <c r="AV3" s="31">
        <f>CORREL('DATASET 25%'!$B2:$B21,'DATASET 25%'!AV2:AV21)</f>
        <v>0.1846372364689991</v>
      </c>
      <c r="AW3" s="31">
        <f>CORREL('DATASET 25%'!$B2:$B21,'DATASET 25%'!AW2:AW21)</f>
        <v>0.81574370240807415</v>
      </c>
      <c r="AX3" s="31">
        <f>CORREL('DATASET 25%'!$B2:$B21,'DATASET 25%'!AX2:AX21)</f>
        <v>-0.5731711818434021</v>
      </c>
      <c r="AY3" s="31">
        <f>CORREL('DATASET 25%'!$B2:$B21,'DATASET 25%'!AY2:AY21)</f>
        <v>-0.15048231635721146</v>
      </c>
    </row>
    <row r="4" spans="1:51" ht="20" customHeight="1" x14ac:dyDescent="0.15">
      <c r="A4" s="30" t="s">
        <v>2</v>
      </c>
      <c r="B4" s="29">
        <f>CORREL('DATASET 25%'!$C2:$C21,'DATASET 25%'!B2:B21)</f>
        <v>0.74406978620509445</v>
      </c>
      <c r="C4" s="28">
        <f>CORREL('DATASET 25%'!$C2:$C21,'DATASET 25%'!C2:C21)</f>
        <v>1</v>
      </c>
      <c r="D4" s="28">
        <f>CORREL('DATASET 25%'!$C2:$C21,'DATASET 25%'!D2:D21)</f>
        <v>0.27568046874205115</v>
      </c>
      <c r="E4" s="28">
        <f>CORREL('DATASET 25%'!$C2:$C21,'DATASET 25%'!E2:E21)</f>
        <v>0.44475420949975875</v>
      </c>
      <c r="F4" s="28">
        <f>CORREL('DATASET 25%'!$C2:$C21,'DATASET 25%'!F2:F21)</f>
        <v>0.27931019386546407</v>
      </c>
      <c r="G4" s="28">
        <f>CORREL('DATASET 25%'!$C2:$C21,'DATASET 25%'!G2:G21)</f>
        <v>-4.5033583011126942E-2</v>
      </c>
      <c r="H4" s="28">
        <f>CORREL('DATASET 25%'!$C2:$C21,'DATASET 25%'!H2:H21)</f>
        <v>0.36951072720799866</v>
      </c>
      <c r="I4" s="42">
        <f>CORREL('DATASET 25%'!$C2:$C21,'DATASET 25%'!I2:I21)</f>
        <v>-0.23259230819904844</v>
      </c>
      <c r="J4" s="28">
        <f>CORREL('DATASET 25%'!$C2:$C21,'DATASET 25%'!J2:J21)</f>
        <v>0.56551442080159786</v>
      </c>
      <c r="K4" s="28">
        <f>CORREL('DATASET 25%'!$C2:$C21,'DATASET 25%'!K2:K21)</f>
        <v>0.62305598284903341</v>
      </c>
      <c r="L4" s="28">
        <f>CORREL('DATASET 25%'!$C2:$C21,'DATASET 25%'!L2:L21)</f>
        <v>0.32084230763604432</v>
      </c>
      <c r="M4" s="28">
        <f>CORREL('DATASET 25%'!$C2:$C21,'DATASET 25%'!M2:M21)</f>
        <v>-0.57383972971399433</v>
      </c>
      <c r="N4" s="28">
        <f>CORREL('DATASET 25%'!$C2:$C21,'DATASET 25%'!N2:N21)</f>
        <v>-0.22482665085101569</v>
      </c>
      <c r="O4" s="28">
        <f>CORREL('DATASET 25%'!$C2:$C21,'DATASET 25%'!O2:O21)</f>
        <v>0.45965695230848214</v>
      </c>
      <c r="P4" s="28">
        <f>CORREL('DATASET 25%'!$C2:$C21,'DATASET 25%'!P2:P21)</f>
        <v>-0.5103103630798288</v>
      </c>
      <c r="Q4" s="28">
        <f>CORREL('DATASET 25%'!$C2:$C21,'DATASET 25%'!Q2:Q21)</f>
        <v>0.42499682338619293</v>
      </c>
      <c r="R4" s="28">
        <f>CORREL('DATASET 25%'!$C2:$C21,'DATASET 25%'!R2:R21)</f>
        <v>-3.6860489038724298E-2</v>
      </c>
      <c r="S4" s="38">
        <f>CORREL('DATASET 25%'!$C2:$C21,'DATASET 25%'!S2:S21)</f>
        <v>-5.414351022802627E-2</v>
      </c>
      <c r="T4" s="28">
        <f>CORREL('DATASET 25%'!$C2:$C21,'DATASET 25%'!T2:T21)</f>
        <v>0.42729611186285654</v>
      </c>
      <c r="U4" s="28">
        <f>CORREL('DATASET 25%'!$C2:$C21,'DATASET 25%'!U2:U21)</f>
        <v>-0.47524472212642549</v>
      </c>
      <c r="V4" s="28">
        <f>CORREL('DATASET 25%'!$C2:$C21,'DATASET 25%'!V2:V21)</f>
        <v>0.38924947208076155</v>
      </c>
      <c r="W4" s="28">
        <f>CORREL('DATASET 25%'!$C2:$C21,'DATASET 25%'!W2:W21)</f>
        <v>0.25604806211933256</v>
      </c>
      <c r="X4" s="28">
        <f>CORREL('DATASET 25%'!$C2:$C21,'DATASET 25%'!X2:X21)</f>
        <v>0.49208226123522403</v>
      </c>
      <c r="Y4" s="28">
        <f>CORREL('DATASET 25%'!$C2:$C21,'DATASET 25%'!Y2:Y21)</f>
        <v>0.36806571528259513</v>
      </c>
      <c r="Z4" s="28">
        <f>CORREL('DATASET 25%'!$C2:$C21,'DATASET 25%'!Z2:Z21)</f>
        <v>0.48073411169913627</v>
      </c>
      <c r="AA4" s="28">
        <f>CORREL('DATASET 25%'!$C2:$C21,'DATASET 25%'!AA2:AA21)</f>
        <v>-0.25925925925925919</v>
      </c>
      <c r="AB4" s="28">
        <f>CORREL('DATASET 25%'!$C2:$C21,'DATASET 25%'!AB2:AB21)</f>
        <v>0.22581246709277497</v>
      </c>
      <c r="AC4" s="28">
        <f>CORREL('DATASET 25%'!$C2:$C21,'DATASET 25%'!AC2:AC21)</f>
        <v>-0.32510161013223099</v>
      </c>
      <c r="AD4" s="28">
        <f>CORREL('DATASET 25%'!$C2:$C21,'DATASET 25%'!AD2:AD21)</f>
        <v>3.4539847429387809E-2</v>
      </c>
      <c r="AE4" s="28">
        <f>CORREL('DATASET 25%'!$C2:$C21,'DATASET 25%'!AE2:AE21)</f>
        <v>-0.49858823247636891</v>
      </c>
      <c r="AF4" s="28">
        <f>CORREL('DATASET 25%'!$C2:$C21,'DATASET 25%'!AF2:AF21)</f>
        <v>-3.1915182574260341E-2</v>
      </c>
      <c r="AG4" s="28">
        <f>CORREL('DATASET 25%'!$C2:$C21,'DATASET 25%'!AG2:AG21)</f>
        <v>0.47338106833115096</v>
      </c>
      <c r="AH4" s="28">
        <f>CORREL('DATASET 25%'!$C2:$C21,'DATASET 25%'!AH2:AH21)</f>
        <v>-0.36499819754421575</v>
      </c>
      <c r="AI4" s="28">
        <f>CORREL('DATASET 25%'!$C2:$C21,'DATASET 25%'!AI2:AI21)</f>
        <v>-0.43631801264543324</v>
      </c>
      <c r="AJ4" s="28">
        <f>CORREL('DATASET 25%'!$C2:$C21,'DATASET 25%'!AJ2:AJ21)</f>
        <v>0.14619752322446775</v>
      </c>
      <c r="AK4" s="28">
        <f>CORREL('DATASET 25%'!$C2:$C21,'DATASET 25%'!AK2:AK21)</f>
        <v>-8.7567822915456082E-3</v>
      </c>
      <c r="AL4" s="28">
        <f>CORREL('DATASET 25%'!$C2:$C21,'DATASET 25%'!AL2:AL21)</f>
        <v>0.21611067700719858</v>
      </c>
      <c r="AM4" s="28">
        <f>CORREL('DATASET 25%'!$C2:$C21,'DATASET 25%'!AM2:AM21)</f>
        <v>0.23775807743661137</v>
      </c>
      <c r="AN4" s="28">
        <f>CORREL('DATASET 25%'!$C2:$C21,'DATASET 25%'!AN2:AN21)</f>
        <v>-0.24925019678817312</v>
      </c>
      <c r="AO4" s="28">
        <f>CORREL('DATASET 25%'!$C2:$C21,'DATASET 25%'!AO2:AO21)</f>
        <v>-0.42020903161652873</v>
      </c>
      <c r="AP4" s="28">
        <f>CORREL('DATASET 25%'!$C2:$C21,'DATASET 25%'!AP2:AP21)</f>
        <v>3.5511041211421776E-2</v>
      </c>
      <c r="AQ4" s="28">
        <f>CORREL('DATASET 25%'!$C2:$C21,'DATASET 25%'!AQ2:AQ21)</f>
        <v>0.11504474832710558</v>
      </c>
      <c r="AR4" s="28">
        <f>CORREL('DATASET 25%'!$C2:$C21,'DATASET 25%'!AR2:AR21)</f>
        <v>-0.15008340284214075</v>
      </c>
      <c r="AS4" s="28">
        <f>CORREL('DATASET 25%'!$C2:$C21,'DATASET 25%'!AS2:AS21)</f>
        <v>-0.53344314809912008</v>
      </c>
      <c r="AT4" s="28">
        <f>CORREL('DATASET 25%'!$C2:$C21,'DATASET 25%'!AT2:AT21)</f>
        <v>0.65828058860438343</v>
      </c>
      <c r="AU4" s="28">
        <f>CORREL('DATASET 25%'!$C2:$C21,'DATASET 25%'!AU2:AU21)</f>
        <v>0.29851115706299675</v>
      </c>
      <c r="AV4" s="28">
        <f>CORREL('DATASET 25%'!$C2:$C21,'DATASET 25%'!AV2:AV21)</f>
        <v>0.37295688291399004</v>
      </c>
      <c r="AW4" s="28">
        <f>CORREL('DATASET 25%'!$C2:$C21,'DATASET 25%'!AW2:AW21)</f>
        <v>0.70195258398811944</v>
      </c>
      <c r="AX4" s="28">
        <f>CORREL('DATASET 25%'!$C2:$C21,'DATASET 25%'!AX2:AX21)</f>
        <v>-0.28329634983503671</v>
      </c>
      <c r="AY4" s="28">
        <f>CORREL('DATASET 25%'!$C2:$C21,'DATASET 25%'!AY2:AY21)</f>
        <v>0.63245553203367577</v>
      </c>
    </row>
    <row r="5" spans="1:51" ht="20" customHeight="1" x14ac:dyDescent="0.15">
      <c r="A5" s="30" t="s">
        <v>52</v>
      </c>
      <c r="B5" s="29">
        <f>CORREL('DATASET 25%'!$D2:$D21,'DATASET 25%'!B2:B21)</f>
        <v>-0.22334637879725971</v>
      </c>
      <c r="C5" s="28">
        <f>CORREL('DATASET 25%'!$D2:$D21,'DATASET 25%'!C2:C21)</f>
        <v>0.27568046874205115</v>
      </c>
      <c r="D5" s="28">
        <f>CORREL('DATASET 25%'!$D2:$D21,'DATASET 25%'!D2:D21)</f>
        <v>1</v>
      </c>
      <c r="E5" s="28">
        <f>CORREL('DATASET 25%'!$D2:$D21,'DATASET 25%'!E2:E21)</f>
        <v>-4.2395584922430687E-2</v>
      </c>
      <c r="F5" s="28">
        <f>CORREL('DATASET 25%'!$D2:$D21,'DATASET 25%'!F2:F21)</f>
        <v>-0.15447371917591884</v>
      </c>
      <c r="G5" s="28">
        <f>CORREL('DATASET 25%'!$D2:$D21,'DATASET 25%'!G2:G21)</f>
        <v>0.24333213169614382</v>
      </c>
      <c r="H5" s="28">
        <f>CORREL('DATASET 25%'!$D2:$D21,'DATASET 25%'!H2:H21)</f>
        <v>0.44172610429938614</v>
      </c>
      <c r="I5" s="42">
        <f>CORREL('DATASET 25%'!$D2:$D21,'DATASET 25%'!I2:I21)</f>
        <v>-6.5128807423779078E-2</v>
      </c>
      <c r="J5" s="28">
        <f>CORREL('DATASET 25%'!$D2:$D21,'DATASET 25%'!J2:J21)</f>
        <v>0.59702960769151858</v>
      </c>
      <c r="K5" s="28">
        <f>CORREL('DATASET 25%'!$D2:$D21,'DATASET 25%'!K2:K21)</f>
        <v>5.2128603514268679E-2</v>
      </c>
      <c r="L5" s="28">
        <f>CORREL('DATASET 25%'!$D2:$D21,'DATASET 25%'!L2:L21)</f>
        <v>0.5434899358947729</v>
      </c>
      <c r="M5" s="28">
        <f>CORREL('DATASET 25%'!$D2:$D21,'DATASET 25%'!M2:M21)</f>
        <v>0.12055275622302061</v>
      </c>
      <c r="N5" s="28">
        <f>CORREL('DATASET 25%'!$D2:$D21,'DATASET 25%'!N2:N21)</f>
        <v>0.34848736283275628</v>
      </c>
      <c r="O5" s="28">
        <f>CORREL('DATASET 25%'!$D2:$D21,'DATASET 25%'!O2:O21)</f>
        <v>-0.21677749238102997</v>
      </c>
      <c r="P5" s="28">
        <f>CORREL('DATASET 25%'!$D2:$D21,'DATASET 25%'!P2:P21)</f>
        <v>-0.36430836970250097</v>
      </c>
      <c r="Q5" s="28">
        <f>CORREL('DATASET 25%'!$D2:$D21,'DATASET 25%'!Q2:Q21)</f>
        <v>0.53763956748013086</v>
      </c>
      <c r="R5" s="28">
        <f>CORREL('DATASET 25%'!$D2:$D21,'DATASET 25%'!R2:R21)</f>
        <v>0.68401332664804559</v>
      </c>
      <c r="S5" s="38">
        <f>CORREL('DATASET 25%'!$D2:$D21,'DATASET 25%'!S2:S21)</f>
        <v>0.61786757427665995</v>
      </c>
      <c r="T5" s="28">
        <f>CORREL('DATASET 25%'!$D2:$D21,'DATASET 25%'!T2:T21)</f>
        <v>0</v>
      </c>
      <c r="U5" s="28">
        <f>CORREL('DATASET 25%'!$D2:$D21,'DATASET 25%'!U2:U21)</f>
        <v>0.10127393670836668</v>
      </c>
      <c r="V5" s="28">
        <f>CORREL('DATASET 25%'!$D2:$D21,'DATASET 25%'!V2:V21)</f>
        <v>0.80555555555555558</v>
      </c>
      <c r="W5" s="28">
        <f>CORREL('DATASET 25%'!$D2:$D21,'DATASET 25%'!W2:W21)</f>
        <v>0.52486685622201823</v>
      </c>
      <c r="X5" s="28">
        <f>CORREL('DATASET 25%'!$D2:$D21,'DATASET 25%'!X2:X21)</f>
        <v>-0.19706585563285867</v>
      </c>
      <c r="Y5" s="28">
        <f>CORREL('DATASET 25%'!$D2:$D21,'DATASET 25%'!Y2:Y21)</f>
        <v>-0.15041420939904668</v>
      </c>
      <c r="Z5" s="28">
        <f>CORREL('DATASET 25%'!$D2:$D21,'DATASET 25%'!Z2:Z21)</f>
        <v>0.41414612149747354</v>
      </c>
      <c r="AA5" s="28">
        <f>CORREL('DATASET 25%'!$D2:$D21,'DATASET 25%'!AA2:AA21)</f>
        <v>0.52972573361865061</v>
      </c>
      <c r="AB5" s="28">
        <f>CORREL('DATASET 25%'!$D2:$D21,'DATASET 25%'!AB2:AB21)</f>
        <v>-0.29318995718002555</v>
      </c>
      <c r="AC5" s="28">
        <f>CORREL('DATASET 25%'!$D2:$D21,'DATASET 25%'!AC2:AC21)</f>
        <v>-0.38145728823951192</v>
      </c>
      <c r="AD5" s="28">
        <f>CORREL('DATASET 25%'!$D2:$D21,'DATASET 25%'!AD2:AD21)</f>
        <v>0</v>
      </c>
      <c r="AE5" s="28">
        <f>CORREL('DATASET 25%'!$D2:$D21,'DATASET 25%'!AE2:AE21)</f>
        <v>0.54088015314175864</v>
      </c>
      <c r="AF5" s="28">
        <f>CORREL('DATASET 25%'!$D2:$D21,'DATASET 25%'!AF2:AF21)</f>
        <v>-4.1502867831964538E-2</v>
      </c>
      <c r="AG5" s="28">
        <f>CORREL('DATASET 25%'!$D2:$D21,'DATASET 25%'!AG2:AG21)</f>
        <v>2.0946921974372049E-2</v>
      </c>
      <c r="AH5" s="28">
        <f>CORREL('DATASET 25%'!$D2:$D21,'DATASET 25%'!AH2:AH21)</f>
        <v>-0.52345355399348059</v>
      </c>
      <c r="AI5" s="28">
        <f>CORREL('DATASET 25%'!$D2:$D21,'DATASET 25%'!AI2:AI21)</f>
        <v>0.16374773431310663</v>
      </c>
      <c r="AJ5" s="28">
        <f>CORREL('DATASET 25%'!$D2:$D21,'DATASET 25%'!AJ2:AJ21)</f>
        <v>-3.6080477054410677E-2</v>
      </c>
      <c r="AK5" s="28">
        <f>CORREL('DATASET 25%'!$D2:$D21,'DATASET 25%'!AK2:AK21)</f>
        <v>0.56615643937051452</v>
      </c>
      <c r="AL5" s="28">
        <f>CORREL('DATASET 25%'!$D2:$D21,'DATASET 25%'!AL2:AL21)</f>
        <v>4.8261708906583975E-2</v>
      </c>
      <c r="AM5" s="28">
        <f>CORREL('DATASET 25%'!$D2:$D21,'DATASET 25%'!AM2:AM21)</f>
        <v>-0.19130532955455598</v>
      </c>
      <c r="AN5" s="28">
        <f>CORREL('DATASET 25%'!$D2:$D21,'DATASET 25%'!AN2:AN21)</f>
        <v>0.20297414089646781</v>
      </c>
      <c r="AO5" s="28">
        <f>CORREL('DATASET 25%'!$D2:$D21,'DATASET 25%'!AO2:AO21)</f>
        <v>0.46693505807888436</v>
      </c>
      <c r="AP5" s="28">
        <f>CORREL('DATASET 25%'!$D2:$D21,'DATASET 25%'!AP2:AP21)</f>
        <v>0.38005847503304602</v>
      </c>
      <c r="AQ5" s="28">
        <f>CORREL('DATASET 25%'!$D2:$D21,'DATASET 25%'!AQ2:AQ21)</f>
        <v>-0.37562411321267408</v>
      </c>
      <c r="AR5" s="28">
        <f>CORREL('DATASET 25%'!$D2:$D21,'DATASET 25%'!AR2:AR21)</f>
        <v>0.11396057645963792</v>
      </c>
      <c r="AS5" s="28">
        <f>CORREL('DATASET 25%'!$D2:$D21,'DATASET 25%'!AS2:AS21)</f>
        <v>1.764736414388934E-2</v>
      </c>
      <c r="AT5" s="28">
        <f>CORREL('DATASET 25%'!$D2:$D21,'DATASET 25%'!AT2:AT21)</f>
        <v>-9.3100680758114812E-2</v>
      </c>
      <c r="AU5" s="28">
        <f>CORREL('DATASET 25%'!$D2:$D21,'DATASET 25%'!AU2:AU21)</f>
        <v>6.4746221285351541E-2</v>
      </c>
      <c r="AV5" s="28">
        <f>CORREL('DATASET 25%'!$D2:$D21,'DATASET 25%'!AV2:AV21)</f>
        <v>0.75818612914320327</v>
      </c>
      <c r="AW5" s="28">
        <f>CORREL('DATASET 25%'!$D2:$D21,'DATASET 25%'!AW2:AW21)</f>
        <v>0.16106700600060608</v>
      </c>
      <c r="AX5" s="28">
        <f>CORREL('DATASET 25%'!$D2:$D21,'DATASET 25%'!AX2:AX21)</f>
        <v>-6.601558944168558E-3</v>
      </c>
      <c r="AY5" s="28">
        <f>CORREL('DATASET 25%'!$D2:$D21,'DATASET 25%'!AY2:AY21)</f>
        <v>0.7902097902097901</v>
      </c>
    </row>
    <row r="6" spans="1:51" ht="20" customHeight="1" x14ac:dyDescent="0.15">
      <c r="A6" s="30" t="s">
        <v>53</v>
      </c>
      <c r="B6" s="29">
        <f>CORREL('DATASET 25%'!$E2:$E21,'DATASET 25%'!B2:B21)</f>
        <v>0.53435131064217645</v>
      </c>
      <c r="C6" s="28">
        <f>CORREL('DATASET 25%'!$E2:$E21,'DATASET 25%'!C2:C21)</f>
        <v>0.44475420949975875</v>
      </c>
      <c r="D6" s="28">
        <f>CORREL('DATASET 25%'!$E2:$E21,'DATASET 25%'!D2:D21)</f>
        <v>-4.2395584922430687E-2</v>
      </c>
      <c r="E6" s="28">
        <f>CORREL('DATASET 25%'!$E2:$E21,'DATASET 25%'!E2:E21)</f>
        <v>0.99999999999999989</v>
      </c>
      <c r="F6" s="28">
        <f>CORREL('DATASET 25%'!$E2:$E21,'DATASET 25%'!F2:F21)</f>
        <v>0.21144540291962272</v>
      </c>
      <c r="G6" s="28">
        <f>CORREL('DATASET 25%'!$E2:$E21,'DATASET 25%'!G2:G21)</f>
        <v>-1.6356608587077808E-2</v>
      </c>
      <c r="H6" s="28">
        <f>CORREL('DATASET 25%'!$E2:$E21,'DATASET 25%'!H2:H21)</f>
        <v>-0.21197792461215342</v>
      </c>
      <c r="I6" s="42">
        <f>CORREL('DATASET 25%'!$E2:$E21,'DATASET 25%'!I2:I21)</f>
        <v>-0.64715873863349072</v>
      </c>
      <c r="J6" s="28">
        <f>CORREL('DATASET 25%'!$E2:$E21,'DATASET 25%'!J2:J21)</f>
        <v>-0.28720380128756123</v>
      </c>
      <c r="K6" s="28">
        <f>CORREL('DATASET 25%'!$E2:$E21,'DATASET 25%'!K2:K21)</f>
        <v>0.37470636276902902</v>
      </c>
      <c r="L6" s="28">
        <f>CORREL('DATASET 25%'!$E2:$E21,'DATASET 25%'!L2:L21)</f>
        <v>-0.35261557443201719</v>
      </c>
      <c r="M6" s="28">
        <f>CORREL('DATASET 25%'!$E2:$E21,'DATASET 25%'!M2:M21)</f>
        <v>-0.93923866071945461</v>
      </c>
      <c r="N6" s="28">
        <f>CORREL('DATASET 25%'!$E2:$E21,'DATASET 25%'!N2:N21)</f>
        <v>0</v>
      </c>
      <c r="O6" s="28">
        <f>CORREL('DATASET 25%'!$E2:$E21,'DATASET 25%'!O2:O21)</f>
        <v>0.72599689051845318</v>
      </c>
      <c r="P6" s="28">
        <f>CORREL('DATASET 25%'!$E2:$E21,'DATASET 25%'!P2:P21)</f>
        <v>-0.7566444492037343</v>
      </c>
      <c r="Q6" s="28">
        <f>CORREL('DATASET 25%'!$E2:$E21,'DATASET 25%'!Q2:Q21)</f>
        <v>0</v>
      </c>
      <c r="R6" s="28">
        <f>CORREL('DATASET 25%'!$E2:$E21,'DATASET 25%'!R2:R21)</f>
        <v>-0.66575404930977811</v>
      </c>
      <c r="S6" s="38">
        <f>CORREL('DATASET 25%'!$E2:$E21,'DATASET 25%'!S2:S21)</f>
        <v>-0.65423313127310434</v>
      </c>
      <c r="T6" s="28">
        <f>CORREL('DATASET 25%'!$E2:$E21,'DATASET 25%'!T2:T21)</f>
        <v>0.72083358858935698</v>
      </c>
      <c r="U6" s="28">
        <f>CORREL('DATASET 25%'!$E2:$E21,'DATASET 25%'!U2:U21)</f>
        <v>-0.33802043207474902</v>
      </c>
      <c r="V6" s="28">
        <f>CORREL('DATASET 25%'!$E2:$E21,'DATASET 25%'!V2:V21)</f>
        <v>-0.45324710388668116</v>
      </c>
      <c r="W6" s="28">
        <f>CORREL('DATASET 25%'!$E2:$E21,'DATASET 25%'!W2:W21)</f>
        <v>-0.64226162893325633</v>
      </c>
      <c r="X6" s="28">
        <f>CORREL('DATASET 25%'!$E2:$E21,'DATASET 25%'!X2:X21)</f>
        <v>0.85092473822273029</v>
      </c>
      <c r="Y6" s="28">
        <f>CORREL('DATASET 25%'!$E2:$E21,'DATASET 25%'!Y2:Y21)</f>
        <v>0.76996785202773221</v>
      </c>
      <c r="Z6" s="28">
        <f>CORREL('DATASET 25%'!$E2:$E21,'DATASET 25%'!Z2:Z21)</f>
        <v>0.42589714296266862</v>
      </c>
      <c r="AA6" s="28">
        <f>CORREL('DATASET 25%'!$E2:$E21,'DATASET 25%'!AA2:AA21)</f>
        <v>0.33618469159823022</v>
      </c>
      <c r="AB6" s="28">
        <f>CORREL('DATASET 25%'!$E2:$E21,'DATASET 25%'!AB2:AB21)</f>
        <v>0.57123526988331497</v>
      </c>
      <c r="AC6" s="28">
        <f>CORREL('DATASET 25%'!$E2:$E21,'DATASET 25%'!AC2:AC21)</f>
        <v>-1.1135885079684422E-2</v>
      </c>
      <c r="AD6" s="28">
        <f>CORREL('DATASET 25%'!$E2:$E21,'DATASET 25%'!AD2:AD21)</f>
        <v>-0.44582257006028225</v>
      </c>
      <c r="AE6" s="28">
        <f>CORREL('DATASET 25%'!$E2:$E21,'DATASET 25%'!AE2:AE21)</f>
        <v>-0.58059806335559017</v>
      </c>
      <c r="AF6" s="28">
        <f>CORREL('DATASET 25%'!$E2:$E21,'DATASET 25%'!AF2:AF21)</f>
        <v>-0.36738729994727931</v>
      </c>
      <c r="AG6" s="28">
        <f>CORREL('DATASET 25%'!$E2:$E21,'DATASET 25%'!AG2:AG21)</f>
        <v>0.52704627669472981</v>
      </c>
      <c r="AH6" s="28">
        <f>CORREL('DATASET 25%'!$E2:$E21,'DATASET 25%'!AH2:AH21)</f>
        <v>0.10699012312772826</v>
      </c>
      <c r="AI6" s="28">
        <f>CORREL('DATASET 25%'!$E2:$E21,'DATASET 25%'!AI2:AI21)</f>
        <v>-0.296156766846422</v>
      </c>
      <c r="AJ6" s="28">
        <f>CORREL('DATASET 25%'!$E2:$E21,'DATASET 25%'!AJ2:AJ21)</f>
        <v>0.13002288604209247</v>
      </c>
      <c r="AK6" s="28">
        <f>CORREL('DATASET 25%'!$E2:$E21,'DATASET 25%'!AK2:AK21)</f>
        <v>-0.17505997194995182</v>
      </c>
      <c r="AL6" s="28">
        <f>CORREL('DATASET 25%'!$E2:$E21,'DATASET 25%'!AL2:AL21)</f>
        <v>0.11489312875225723</v>
      </c>
      <c r="AM6" s="28">
        <f>CORREL('DATASET 25%'!$E2:$E21,'DATASET 25%'!AM2:AM21)</f>
        <v>0.60542349691721487</v>
      </c>
      <c r="AN6" s="28">
        <f>CORREL('DATASET 25%'!$E2:$E21,'DATASET 25%'!AN2:AN21)</f>
        <v>2.5983731852596833E-2</v>
      </c>
      <c r="AO6" s="28">
        <f>CORREL('DATASET 25%'!$E2:$E21,'DATASET 25%'!AO2:AO21)</f>
        <v>-0.53832509036098686</v>
      </c>
      <c r="AP6" s="28">
        <f>CORREL('DATASET 25%'!$E2:$E21,'DATASET 25%'!AP2:AP21)</f>
        <v>-0.68316635590555108</v>
      </c>
      <c r="AQ6" s="28">
        <f>CORREL('DATASET 25%'!$E2:$E21,'DATASET 25%'!AQ2:AQ21)</f>
        <v>0.26735294246132713</v>
      </c>
      <c r="AR6" s="28">
        <f>CORREL('DATASET 25%'!$E2:$E21,'DATASET 25%'!AR2:AR21)</f>
        <v>0.26967994498529685</v>
      </c>
      <c r="AS6" s="28">
        <f>CORREL('DATASET 25%'!$E2:$E21,'DATASET 25%'!AS2:AS21)</f>
        <v>-0.69126055753442794</v>
      </c>
      <c r="AT6" s="28">
        <f>CORREL('DATASET 25%'!$E2:$E21,'DATASET 25%'!AT2:AT21)</f>
        <v>0.59512187028022234</v>
      </c>
      <c r="AU6" s="28">
        <f>CORREL('DATASET 25%'!$E2:$E21,'DATASET 25%'!AU2:AU21)</f>
        <v>-8.0583323868284122E-17</v>
      </c>
      <c r="AV6" s="28">
        <f>CORREL('DATASET 25%'!$E2:$E21,'DATASET 25%'!AV2:AV21)</f>
        <v>0</v>
      </c>
      <c r="AW6" s="28">
        <f>CORREL('DATASET 25%'!$E2:$E21,'DATASET 25%'!AW2:AW21)</f>
        <v>0.59130013896644451</v>
      </c>
      <c r="AX6" s="28">
        <f>CORREL('DATASET 25%'!$E2:$E21,'DATASET 25%'!AX2:AX21)</f>
        <v>-0.28244484024248995</v>
      </c>
      <c r="AY6" s="28">
        <f>CORREL('DATASET 25%'!$E2:$E21,'DATASET 25%'!AY2:AY21)</f>
        <v>-0.3461467590095314</v>
      </c>
    </row>
    <row r="7" spans="1:51" ht="20" customHeight="1" x14ac:dyDescent="0.15">
      <c r="A7" s="30" t="s">
        <v>5</v>
      </c>
      <c r="B7" s="29">
        <f>CORREL('DATASET 25%'!$F2:$F21,'DATASET 25%'!B2:B21)</f>
        <v>0.87487080484817437</v>
      </c>
      <c r="C7" s="28">
        <f>CORREL('DATASET 25%'!$F2:$F21,'DATASET 25%'!C2:C21)</f>
        <v>0.27931019386546407</v>
      </c>
      <c r="D7" s="28">
        <f>CORREL('DATASET 25%'!$F2:$F21,'DATASET 25%'!D2:D21)</f>
        <v>-0.15447371917591884</v>
      </c>
      <c r="E7" s="28">
        <f>CORREL('DATASET 25%'!$F2:$F21,'DATASET 25%'!E2:E21)</f>
        <v>0.21144540291962272</v>
      </c>
      <c r="F7" s="28">
        <f>CORREL('DATASET 25%'!$F2:$F21,'DATASET 25%'!F2:F21)</f>
        <v>1.0000000000000002</v>
      </c>
      <c r="G7" s="28">
        <f>CORREL('DATASET 25%'!$F2:$F21,'DATASET 25%'!G2:G21)</f>
        <v>0.46633689309505</v>
      </c>
      <c r="H7" s="28">
        <f>CORREL('DATASET 25%'!$F2:$F21,'DATASET 25%'!H2:H21)</f>
        <v>-0.41853902539821825</v>
      </c>
      <c r="I7" s="42">
        <f>CORREL('DATASET 25%'!$F2:$F21,'DATASET 25%'!I2:I21)</f>
        <v>-0.56895904195024816</v>
      </c>
      <c r="J7" s="28">
        <f>CORREL('DATASET 25%'!$F2:$F21,'DATASET 25%'!J2:J21)</f>
        <v>-7.1411494828392333E-2</v>
      </c>
      <c r="K7" s="28">
        <f>CORREL('DATASET 25%'!$F2:$F21,'DATASET 25%'!K2:K21)</f>
        <v>0.43629152802035892</v>
      </c>
      <c r="L7" s="28">
        <f>CORREL('DATASET 25%'!$F2:$F21,'DATASET 25%'!L2:L21)</f>
        <v>-0.20847900962281715</v>
      </c>
      <c r="M7" s="28">
        <f>CORREL('DATASET 25%'!$F2:$F21,'DATASET 25%'!M2:M21)</f>
        <v>-0.32659863237109038</v>
      </c>
      <c r="N7" s="28">
        <f>CORREL('DATASET 25%'!$F2:$F21,'DATASET 25%'!N2:N21)</f>
        <v>-0.55427399547369327</v>
      </c>
      <c r="O7" s="28">
        <f>CORREL('DATASET 25%'!$F2:$F21,'DATASET 25%'!O2:O21)</f>
        <v>0.8650493021832798</v>
      </c>
      <c r="P7" s="28">
        <f>CORREL('DATASET 25%'!$F2:$F21,'DATASET 25%'!P2:P21)</f>
        <v>-0.6946770272805517</v>
      </c>
      <c r="Q7" s="28">
        <f>CORREL('DATASET 25%'!$F2:$F21,'DATASET 25%'!Q2:Q21)</f>
        <v>-9.4609454076074559E-2</v>
      </c>
      <c r="R7" s="28">
        <f>CORREL('DATASET 25%'!$F2:$F21,'DATASET 25%'!R2:R21)</f>
        <v>-6.0559517281366569E-2</v>
      </c>
      <c r="S7" s="38">
        <f>CORREL('DATASET 25%'!$F2:$F21,'DATASET 25%'!S2:S21)</f>
        <v>-0.49718307617612556</v>
      </c>
      <c r="T7" s="28">
        <f>CORREL('DATASET 25%'!$F2:$F21,'DATASET 25%'!T2:T21)</f>
        <v>0.80554541399087398</v>
      </c>
      <c r="U7" s="28">
        <f>CORREL('DATASET 25%'!$F2:$F21,'DATASET 25%'!U2:U21)</f>
        <v>-0.41730470328086272</v>
      </c>
      <c r="V7" s="28">
        <f>CORREL('DATASET 25%'!$F2:$F21,'DATASET 25%'!V2:V21)</f>
        <v>-0.54260951623429332</v>
      </c>
      <c r="W7" s="28">
        <f>CORREL('DATASET 25%'!$F2:$F21,'DATASET 25%'!W2:W21)</f>
        <v>-0.32970016398705726</v>
      </c>
      <c r="X7" s="28">
        <f>CORREL('DATASET 25%'!$F2:$F21,'DATASET 25%'!X2:X21)</f>
        <v>0.48078071661193628</v>
      </c>
      <c r="Y7" s="28">
        <f>CORREL('DATASET 25%'!$F2:$F21,'DATASET 25%'!Y2:Y21)</f>
        <v>0.69398668065162505</v>
      </c>
      <c r="Z7" s="28">
        <f>CORREL('DATASET 25%'!$F2:$F21,'DATASET 25%'!Z2:Z21)</f>
        <v>0.3515400682431799</v>
      </c>
      <c r="AA7" s="28">
        <f>CORREL('DATASET 25%'!$F2:$F21,'DATASET 25%'!AA2:AA21)</f>
        <v>-0.2550941809776513</v>
      </c>
      <c r="AB7" s="28">
        <f>CORREL('DATASET 25%'!$F2:$F21,'DATASET 25%'!AB2:AB21)</f>
        <v>0.7860450553405286</v>
      </c>
      <c r="AC7" s="28">
        <f>CORREL('DATASET 25%'!$F2:$F21,'DATASET 25%'!AC2:AC21)</f>
        <v>0.3065833099137758</v>
      </c>
      <c r="AD7" s="28">
        <f>CORREL('DATASET 25%'!$F2:$F21,'DATASET 25%'!AD2:AD21)</f>
        <v>-0.19026059766179762</v>
      </c>
      <c r="AE7" s="28">
        <f>CORREL('DATASET 25%'!$F2:$F21,'DATASET 25%'!AE2:AE21)</f>
        <v>-0.34347857005916338</v>
      </c>
      <c r="AF7" s="28">
        <f>CORREL('DATASET 25%'!$F2:$F21,'DATASET 25%'!AF2:AF21)</f>
        <v>-0.59945802506864265</v>
      </c>
      <c r="AG7" s="28">
        <f>CORREL('DATASET 25%'!$F2:$F21,'DATASET 25%'!AG2:AG21)</f>
        <v>0.53713520225407585</v>
      </c>
      <c r="AH7" s="28">
        <f>CORREL('DATASET 25%'!$F2:$F21,'DATASET 25%'!AH2:AH21)</f>
        <v>0.56865367612194617</v>
      </c>
      <c r="AI7" s="28">
        <f>CORREL('DATASET 25%'!$F2:$F21,'DATASET 25%'!AI2:AI21)</f>
        <v>-0.10039117221153809</v>
      </c>
      <c r="AJ7" s="28">
        <f>CORREL('DATASET 25%'!$F2:$F21,'DATASET 25%'!AJ2:AJ21)</f>
        <v>0.6426049300860599</v>
      </c>
      <c r="AK7" s="28">
        <f>CORREL('DATASET 25%'!$F2:$F21,'DATASET 25%'!AK2:AK21)</f>
        <v>0.30981353230620534</v>
      </c>
      <c r="AL7" s="28">
        <f>CORREL('DATASET 25%'!$F2:$F21,'DATASET 25%'!AL2:AL21)</f>
        <v>0.17999124543872769</v>
      </c>
      <c r="AM7" s="28">
        <f>CORREL('DATASET 25%'!$F2:$F21,'DATASET 25%'!AM2:AM21)</f>
        <v>0.19523812982535191</v>
      </c>
      <c r="AN7" s="28">
        <f>CORREL('DATASET 25%'!$F2:$F21,'DATASET 25%'!AN2:AN21)</f>
        <v>0.22730751835249818</v>
      </c>
      <c r="AO7" s="28">
        <f>CORREL('DATASET 25%'!$F2:$F21,'DATASET 25%'!AO2:AO21)</f>
        <v>-0.19388493471157059</v>
      </c>
      <c r="AP7" s="28">
        <f>CORREL('DATASET 25%'!$F2:$F21,'DATASET 25%'!AP2:AP21)</f>
        <v>-0.27136662791009319</v>
      </c>
      <c r="AQ7" s="28">
        <f>CORREL('DATASET 25%'!$F2:$F21,'DATASET 25%'!AQ2:AQ21)</f>
        <v>-0.26306702691829131</v>
      </c>
      <c r="AR7" s="28">
        <f>CORREL('DATASET 25%'!$F2:$F21,'DATASET 25%'!AR2:AR21)</f>
        <v>-0.22222222222222218</v>
      </c>
      <c r="AS7" s="28">
        <f>CORREL('DATASET 25%'!$F2:$F21,'DATASET 25%'!AS2:AS21)</f>
        <v>-0.43591456201455808</v>
      </c>
      <c r="AT7" s="28">
        <f>CORREL('DATASET 25%'!$F2:$F21,'DATASET 25%'!AT2:AT21)</f>
        <v>0.39894181395195577</v>
      </c>
      <c r="AU7" s="28">
        <f>CORREL('DATASET 25%'!$F2:$F21,'DATASET 25%'!AU2:AU21)</f>
        <v>0.33630892521879069</v>
      </c>
      <c r="AV7" s="28">
        <f>CORREL('DATASET 25%'!$F2:$F21,'DATASET 25%'!AV2:AV21)</f>
        <v>-6.8680281974344504E-2</v>
      </c>
      <c r="AW7" s="28">
        <f>CORREL('DATASET 25%'!$F2:$F21,'DATASET 25%'!AW2:AW21)</f>
        <v>0.56728315881515345</v>
      </c>
      <c r="AX7" s="28">
        <f>CORREL('DATASET 25%'!$F2:$F21,'DATASET 25%'!AX2:AX21)</f>
        <v>-0.36314669990488441</v>
      </c>
      <c r="AY7" s="28">
        <f>CORREL('DATASET 25%'!$F2:$F21,'DATASET 25%'!AY2:AY21)</f>
        <v>-0.21582073761783843</v>
      </c>
    </row>
    <row r="8" spans="1:51" ht="20" customHeight="1" x14ac:dyDescent="0.15">
      <c r="A8" s="30" t="s">
        <v>6</v>
      </c>
      <c r="B8" s="29">
        <f>CORREL('DATASET 25%'!$G2:$G21,'DATASET 25%'!B2:B21)</f>
        <v>0.34684398780964798</v>
      </c>
      <c r="C8" s="28">
        <f>CORREL('DATASET 25%'!$G2:$G21,'DATASET 25%'!C2:C21)</f>
        <v>-4.5033583011126942E-2</v>
      </c>
      <c r="D8" s="28">
        <f>CORREL('DATASET 25%'!$G2:$G21,'DATASET 25%'!D2:D21)</f>
        <v>0.24333213169614382</v>
      </c>
      <c r="E8" s="28">
        <f>CORREL('DATASET 25%'!$G2:$G21,'DATASET 25%'!E2:E21)</f>
        <v>-1.6356608587077808E-2</v>
      </c>
      <c r="F8" s="28">
        <f>CORREL('DATASET 25%'!$G2:$G21,'DATASET 25%'!F2:F21)</f>
        <v>0.46633689309505</v>
      </c>
      <c r="G8" s="28">
        <f>CORREL('DATASET 25%'!$G2:$G21,'DATASET 25%'!G2:G21)</f>
        <v>0.99999999999999978</v>
      </c>
      <c r="H8" s="28">
        <f>CORREL('DATASET 25%'!$G2:$G21,'DATASET 25%'!H2:H21)</f>
        <v>-0.39528470752104738</v>
      </c>
      <c r="I8" s="42">
        <f>CORREL('DATASET 25%'!$G2:$G21,'DATASET 25%'!I2:I21)</f>
        <v>-0.31785362643054993</v>
      </c>
      <c r="J8" s="28">
        <f>CORREL('DATASET 25%'!$G2:$G21,'DATASET 25%'!J2:J21)</f>
        <v>0.17808219178082191</v>
      </c>
      <c r="K8" s="28">
        <f>CORREL('DATASET 25%'!$G2:$G21,'DATASET 25%'!K2:K21)</f>
        <v>0.58450568804430858</v>
      </c>
      <c r="L8" s="28">
        <f>CORREL('DATASET 25%'!$G2:$G21,'DATASET 25%'!L2:L21)</f>
        <v>5.6136089142383966E-2</v>
      </c>
      <c r="M8" s="28">
        <f>CORREL('DATASET 25%'!$G2:$G21,'DATASET 25%'!M2:M21)</f>
        <v>-4.4669275759451899E-2</v>
      </c>
      <c r="N8" s="28">
        <f>CORREL('DATASET 25%'!$G2:$G21,'DATASET 25%'!N2:N21)</f>
        <v>0.28062637965462461</v>
      </c>
      <c r="O8" s="28">
        <f>CORREL('DATASET 25%'!$G2:$G21,'DATASET 25%'!O2:O21)</f>
        <v>0.57945682680068489</v>
      </c>
      <c r="P8" s="28">
        <f>CORREL('DATASET 25%'!$G2:$G21,'DATASET 25%'!P2:P21)</f>
        <v>-0.46633689309505011</v>
      </c>
      <c r="Q8" s="28">
        <f>CORREL('DATASET 25%'!$G2:$G21,'DATASET 25%'!Q2:Q21)</f>
        <v>0.35806724264847922</v>
      </c>
      <c r="R8" s="28">
        <f>CORREL('DATASET 25%'!$G2:$G21,'DATASET 25%'!R2:R21)</f>
        <v>0.50897879626454623</v>
      </c>
      <c r="S8" s="38">
        <f>CORREL('DATASET 25%'!$G2:$G21,'DATASET 25%'!S2:S21)</f>
        <v>-0.36097088074523226</v>
      </c>
      <c r="T8" s="28">
        <f>CORREL('DATASET 25%'!$G2:$G21,'DATASET 25%'!T2:T21)</f>
        <v>0.28918811190181343</v>
      </c>
      <c r="U8" s="28">
        <f>CORREL('DATASET 25%'!$G2:$G21,'DATASET 25%'!U2:U21)</f>
        <v>-3.812860132285166E-2</v>
      </c>
      <c r="V8" s="28">
        <f>CORREL('DATASET 25%'!$G2:$G21,'DATASET 25%'!V2:V21)</f>
        <v>-0.34200306009948073</v>
      </c>
      <c r="W8" s="28">
        <f>CORREL('DATASET 25%'!$G2:$G21,'DATASET 25%'!W2:W21)</f>
        <v>-4.7107749715070785E-2</v>
      </c>
      <c r="X8" s="28">
        <f>CORREL('DATASET 25%'!$G2:$G21,'DATASET 25%'!X2:X21)</f>
        <v>0.33839673676038678</v>
      </c>
      <c r="Y8" s="28">
        <f>CORREL('DATASET 25%'!$G2:$G21,'DATASET 25%'!Y2:Y21)</f>
        <v>0.2124864740924485</v>
      </c>
      <c r="Z8" s="28">
        <f>CORREL('DATASET 25%'!$G2:$G21,'DATASET 25%'!Z2:Z21)</f>
        <v>0.14803913136594804</v>
      </c>
      <c r="AA8" s="28">
        <f>CORREL('DATASET 25%'!$G2:$G21,'DATASET 25%'!AA2:AA21)</f>
        <v>-8.2199493652678646E-2</v>
      </c>
      <c r="AB8" s="28">
        <f>CORREL('DATASET 25%'!$G2:$G21,'DATASET 25%'!AB2:AB21)</f>
        <v>0.29335264937005484</v>
      </c>
      <c r="AC8" s="28">
        <f>CORREL('DATASET 25%'!$G2:$G21,'DATASET 25%'!AC2:AC21)</f>
        <v>0.49606880168847706</v>
      </c>
      <c r="AD8" s="28">
        <f>CORREL('DATASET 25%'!$G2:$G21,'DATASET 25%'!AD2:AD21)</f>
        <v>-0.25283777534076951</v>
      </c>
      <c r="AE8" s="28">
        <f>CORREL('DATASET 25%'!$G2:$G21,'DATASET 25%'!AE2:AE21)</f>
        <v>0.54072011393994623</v>
      </c>
      <c r="AF8" s="28">
        <f>CORREL('DATASET 25%'!$G2:$G21,'DATASET 25%'!AF2:AF21)</f>
        <v>-0.54792459702411067</v>
      </c>
      <c r="AG8" s="28">
        <f>CORREL('DATASET 25%'!$G2:$G21,'DATASET 25%'!AG2:AG21)</f>
        <v>0.60444733001428652</v>
      </c>
      <c r="AH8" s="28">
        <f>CORREL('DATASET 25%'!$G2:$G21,'DATASET 25%'!AH2:AH21)</f>
        <v>0.63535008048369834</v>
      </c>
      <c r="AI8" s="28">
        <f>CORREL('DATASET 25%'!$G2:$G21,'DATASET 25%'!AI2:AI21)</f>
        <v>0.40915999125816449</v>
      </c>
      <c r="AJ8" s="28">
        <f>CORREL('DATASET 25%'!$G2:$G21,'DATASET 25%'!AJ2:AJ21)</f>
        <v>0.60317312153647507</v>
      </c>
      <c r="AK8" s="28">
        <f>CORREL('DATASET 25%'!$G2:$G21,'DATASET 25%'!AK2:AK21)</f>
        <v>0.71858086791041453</v>
      </c>
      <c r="AL8" s="28">
        <f>CORREL('DATASET 25%'!$G2:$G21,'DATASET 25%'!AL2:AL21)</f>
        <v>-0.4311239909182914</v>
      </c>
      <c r="AM8" s="28">
        <f>CORREL('DATASET 25%'!$G2:$G21,'DATASET 25%'!AM2:AM21)</f>
        <v>0.14607764570615614</v>
      </c>
      <c r="AN8" s="28">
        <f>CORREL('DATASET 25%'!$G2:$G21,'DATASET 25%'!AN2:AN21)</f>
        <v>0.4277982258379287</v>
      </c>
      <c r="AO8" s="28">
        <f>CORREL('DATASET 25%'!$G2:$G21,'DATASET 25%'!AO2:AO21)</f>
        <v>0.15291172333676692</v>
      </c>
      <c r="AP8" s="28">
        <f>CORREL('DATASET 25%'!$G2:$G21,'DATASET 25%'!AP2:AP21)</f>
        <v>0</v>
      </c>
      <c r="AQ8" s="28">
        <f>CORREL('DATASET 25%'!$G2:$G21,'DATASET 25%'!AQ2:AQ21)</f>
        <v>-0.28460498941515411</v>
      </c>
      <c r="AR8" s="28">
        <f>CORREL('DATASET 25%'!$G2:$G21,'DATASET 25%'!AR2:AR21)</f>
        <v>-0.39191117502420419</v>
      </c>
      <c r="AS8" s="28">
        <f>CORREL('DATASET 25%'!$G2:$G21,'DATASET 25%'!AS2:AS21)</f>
        <v>0.38692630053637311</v>
      </c>
      <c r="AT8" s="28">
        <f>CORREL('DATASET 25%'!$G2:$G21,'DATASET 25%'!AT2:AT21)</f>
        <v>4.0197418916900506E-2</v>
      </c>
      <c r="AU8" s="28">
        <f>CORREL('DATASET 25%'!$G2:$G21,'DATASET 25%'!AU2:AU21)</f>
        <v>0.51574384777807936</v>
      </c>
      <c r="AV8" s="28">
        <f>CORREL('DATASET 25%'!$G2:$G21,'DATASET 25%'!AV2:AV21)</f>
        <v>0.48494758248871039</v>
      </c>
      <c r="AW8" s="28">
        <f>CORREL('DATASET 25%'!$G2:$G21,'DATASET 25%'!AW2:AW21)</f>
        <v>0.48427706894964795</v>
      </c>
      <c r="AX8" s="28">
        <f>CORREL('DATASET 25%'!$G2:$G21,'DATASET 25%'!AX2:AX21)</f>
        <v>0.3583841491605973</v>
      </c>
      <c r="AY8" s="28">
        <f>CORREL('DATASET 25%'!$G2:$G21,'DATASET 25%'!AY2:AY21)</f>
        <v>-0.55988472199588957</v>
      </c>
    </row>
    <row r="9" spans="1:51" ht="20" customHeight="1" x14ac:dyDescent="0.15">
      <c r="A9" s="30" t="s">
        <v>7</v>
      </c>
      <c r="B9" s="29">
        <f>CORREL('DATASET 25%'!$H2:$H21,'DATASET 25%'!B2:B21)</f>
        <v>-0.19701804152184726</v>
      </c>
      <c r="C9" s="28">
        <f>CORREL('DATASET 25%'!$H2:$H21,'DATASET 25%'!C2:C21)</f>
        <v>0.36951072720799866</v>
      </c>
      <c r="D9" s="28">
        <f>CORREL('DATASET 25%'!$H2:$H21,'DATASET 25%'!D2:D21)</f>
        <v>0.44172610429938614</v>
      </c>
      <c r="E9" s="28">
        <f>CORREL('DATASET 25%'!$H2:$H21,'DATASET 25%'!E2:E21)</f>
        <v>-0.21197792461215342</v>
      </c>
      <c r="F9" s="28">
        <f>CORREL('DATASET 25%'!$H2:$H21,'DATASET 25%'!F2:F21)</f>
        <v>-0.41853902539821825</v>
      </c>
      <c r="G9" s="28">
        <f>CORREL('DATASET 25%'!$H2:$H21,'DATASET 25%'!G2:G21)</f>
        <v>-0.39528470752104738</v>
      </c>
      <c r="H9" s="28">
        <f>CORREL('DATASET 25%'!$H2:$H21,'DATASET 25%'!H2:H21)</f>
        <v>1.0000000000000002</v>
      </c>
      <c r="I9" s="42">
        <f>CORREL('DATASET 25%'!$H2:$H21,'DATASET 25%'!I2:I21)</f>
        <v>0.14327918274288198</v>
      </c>
      <c r="J9" s="28">
        <f>CORREL('DATASET 25%'!$H2:$H21,'DATASET 25%'!J2:J21)</f>
        <v>0.31625765945794243</v>
      </c>
      <c r="K9" s="28">
        <f>CORREL('DATASET 25%'!$H2:$H21,'DATASET 25%'!K2:K21)</f>
        <v>-0.51005891671665482</v>
      </c>
      <c r="L9" s="28">
        <f>CORREL('DATASET 25%'!$H2:$H21,'DATASET 25%'!L2:L21)</f>
        <v>0.43172969847391629</v>
      </c>
      <c r="M9" s="28">
        <f>CORREL('DATASET 25%'!$H2:$H21,'DATASET 25%'!M2:M21)</f>
        <v>0.22922730202450112</v>
      </c>
      <c r="N9" s="28">
        <f>CORREL('DATASET 25%'!$H2:$H21,'DATASET 25%'!N2:N21)</f>
        <v>-0.26211903316426155</v>
      </c>
      <c r="O9" s="28">
        <f>CORREL('DATASET 25%'!$H2:$H21,'DATASET 25%'!O2:O21)</f>
        <v>-0.75877736332772472</v>
      </c>
      <c r="P9" s="28">
        <f>CORREL('DATASET 25%'!$H2:$H21,'DATASET 25%'!P2:P21)</f>
        <v>0.35921060405354982</v>
      </c>
      <c r="Q9" s="28">
        <f>CORREL('DATASET 25%'!$H2:$H21,'DATASET 25%'!Q2:Q21)</f>
        <v>0.32504180333157673</v>
      </c>
      <c r="R9" s="28">
        <f>CORREL('DATASET 25%'!$H2:$H21,'DATASET 25%'!R2:R21)</f>
        <v>0.12888481555661679</v>
      </c>
      <c r="S9" s="38">
        <f>CORREL('DATASET 25%'!$H2:$H21,'DATASET 25%'!S2:S21)</f>
        <v>0.47556990353384204</v>
      </c>
      <c r="T9" s="28">
        <f>CORREL('DATASET 25%'!$H2:$H21,'DATASET 25%'!T2:T21)</f>
        <v>-0.40560406675731747</v>
      </c>
      <c r="U9" s="28">
        <f>CORREL('DATASET 25%'!$H2:$H21,'DATASET 25%'!U2:U21)</f>
        <v>0.11271158492200152</v>
      </c>
      <c r="V9" s="28">
        <f>CORREL('DATASET 25%'!$H2:$H21,'DATASET 25%'!V2:V21)</f>
        <v>0.87995526418581393</v>
      </c>
      <c r="W9" s="28">
        <f>CORREL('DATASET 25%'!$H2:$H21,'DATASET 25%'!W2:W21)</f>
        <v>0.45342519294190708</v>
      </c>
      <c r="X9" s="28">
        <f>CORREL('DATASET 25%'!$H2:$H21,'DATASET 25%'!X2:X21)</f>
        <v>-0.18772930178557282</v>
      </c>
      <c r="Y9" s="28">
        <f>CORREL('DATASET 25%'!$H2:$H21,'DATASET 25%'!Y2:Y21)</f>
        <v>-0.35602620920148931</v>
      </c>
      <c r="Z9" s="28">
        <f>CORREL('DATASET 25%'!$H2:$H21,'DATASET 25%'!Z2:Z21)</f>
        <v>0.26550618836449408</v>
      </c>
      <c r="AA9" s="28">
        <f>CORREL('DATASET 25%'!$H2:$H21,'DATASET 25%'!AA2:AA21)</f>
        <v>0.1756651500364235</v>
      </c>
      <c r="AB9" s="28">
        <f>CORREL('DATASET 25%'!$H2:$H21,'DATASET 25%'!AB2:AB21)</f>
        <v>-0.58152669939369794</v>
      </c>
      <c r="AC9" s="28">
        <f>CORREL('DATASET 25%'!$H2:$H21,'DATASET 25%'!AC2:AC21)</f>
        <v>-0.22415642610331885</v>
      </c>
      <c r="AD9" s="28">
        <f>CORREL('DATASET 25%'!$H2:$H21,'DATASET 25%'!AD2:AD21)</f>
        <v>0.31684721375253588</v>
      </c>
      <c r="AE9" s="28">
        <f>CORREL('DATASET 25%'!$H2:$H21,'DATASET 25%'!AE2:AE21)</f>
        <v>0.17159763313609469</v>
      </c>
      <c r="AF9" s="28">
        <f>CORREL('DATASET 25%'!$H2:$H21,'DATASET 25%'!AF2:AF21)</f>
        <v>0.24019223070763066</v>
      </c>
      <c r="AG9" s="28">
        <f>CORREL('DATASET 25%'!$H2:$H21,'DATASET 25%'!AG2:AG21)</f>
        <v>-0.65391269291454424</v>
      </c>
      <c r="AH9" s="28">
        <f>CORREL('DATASET 25%'!$H2:$H21,'DATASET 25%'!AH2:AH21)</f>
        <v>-0.55610849839899479</v>
      </c>
      <c r="AI9" s="28">
        <f>CORREL('DATASET 25%'!$H2:$H21,'DATASET 25%'!AI2:AI21)</f>
        <v>-0.13102120744636397</v>
      </c>
      <c r="AJ9" s="28">
        <f>CORREL('DATASET 25%'!$H2:$H21,'DATASET 25%'!AJ2:AJ21)</f>
        <v>-0.57262006438861124</v>
      </c>
      <c r="AK9" s="28">
        <f>CORREL('DATASET 25%'!$H2:$H21,'DATASET 25%'!AK2:AK21)</f>
        <v>-2.0463637726751457E-2</v>
      </c>
      <c r="AL9" s="28">
        <f>CORREL('DATASET 25%'!$H2:$H21,'DATASET 25%'!AL2:AL21)</f>
        <v>0.10033500931359765</v>
      </c>
      <c r="AM9" s="28">
        <f>CORREL('DATASET 25%'!$H2:$H21,'DATASET 25%'!AM2:AM21)</f>
        <v>-0.10576238616172545</v>
      </c>
      <c r="AN9" s="28">
        <f>CORREL('DATASET 25%'!$H2:$H21,'DATASET 25%'!AN2:AN21)</f>
        <v>-0.35668818750321091</v>
      </c>
      <c r="AO9" s="28">
        <f>CORREL('DATASET 25%'!$H2:$H21,'DATASET 25%'!AO2:AO21)</f>
        <v>9.3180195291108395E-2</v>
      </c>
      <c r="AP9" s="28">
        <f>CORREL('DATASET 25%'!$H2:$H21,'DATASET 25%'!AP2:AP21)</f>
        <v>0.13443321448446624</v>
      </c>
      <c r="AQ9" s="28">
        <f>CORREL('DATASET 25%'!$H2:$H21,'DATASET 25%'!AQ2:AQ21)</f>
        <v>-0.14702638801033691</v>
      </c>
      <c r="AR9" s="28">
        <f>CORREL('DATASET 25%'!$H2:$H21,'DATASET 25%'!AR2:AR21)</f>
        <v>0.15625000000000003</v>
      </c>
      <c r="AS9" s="28">
        <f>CORREL('DATASET 25%'!$H2:$H21,'DATASET 25%'!AS2:AS21)</f>
        <v>-0.11911726911763221</v>
      </c>
      <c r="AT9" s="28">
        <f>CORREL('DATASET 25%'!$H2:$H21,'DATASET 25%'!AT2:AT21)</f>
        <v>-5.4192781460340476E-2</v>
      </c>
      <c r="AU9" s="28">
        <f>CORREL('DATASET 25%'!$H2:$H21,'DATASET 25%'!AU2:AU21)</f>
        <v>-0.26612935277863642</v>
      </c>
      <c r="AV9" s="28">
        <f>CORREL('DATASET 25%'!$H2:$H21,'DATASET 25%'!AV2:AV21)</f>
        <v>0.20995367766226414</v>
      </c>
      <c r="AW9" s="28">
        <f>CORREL('DATASET 25%'!$H2:$H21,'DATASET 25%'!AW2:AW21)</f>
        <v>-0.45421997916613499</v>
      </c>
      <c r="AX9" s="28">
        <f>CORREL('DATASET 25%'!$H2:$H21,'DATASET 25%'!AX2:AX21)</f>
        <v>-0.21821789023599242</v>
      </c>
      <c r="AY9" s="28">
        <f>CORREL('DATASET 25%'!$H2:$H21,'DATASET 25%'!AY2:AY21)</f>
        <v>0.43082021842766444</v>
      </c>
    </row>
    <row r="10" spans="1:51" ht="20" customHeight="1" x14ac:dyDescent="0.15">
      <c r="A10" s="30" t="s">
        <v>8</v>
      </c>
      <c r="B10" s="29">
        <f>CORREL('DATASET 25%'!$I2:$I21,'DATASET 25%'!B2:B21)</f>
        <v>-0.78470602571793069</v>
      </c>
      <c r="C10" s="28">
        <f>CORREL('DATASET 25%'!$I2:$I21,'DATASET 25%'!C2:C21)</f>
        <v>-0.23259230819904844</v>
      </c>
      <c r="D10" s="28">
        <f>CORREL('DATASET 25%'!$I2:$I21,'DATASET 25%'!D2:D21)</f>
        <v>-6.5128807423779078E-2</v>
      </c>
      <c r="E10" s="28">
        <f>CORREL('DATASET 25%'!$I2:$I21,'DATASET 25%'!E2:E21)</f>
        <v>-0.64715873863349072</v>
      </c>
      <c r="F10" s="28">
        <f>CORREL('DATASET 25%'!$I2:$I21,'DATASET 25%'!F2:F21)</f>
        <v>-0.56895904195024816</v>
      </c>
      <c r="G10" s="28">
        <f>CORREL('DATASET 25%'!$I2:$I21,'DATASET 25%'!G2:G21)</f>
        <v>-0.31785362643054993</v>
      </c>
      <c r="H10" s="28">
        <f>CORREL('DATASET 25%'!$I2:$I21,'DATASET 25%'!H2:H21)</f>
        <v>0.14327918274288198</v>
      </c>
      <c r="I10" s="42">
        <f>CORREL('DATASET 25%'!$I2:$I21,'DATASET 25%'!I2:I21)</f>
        <v>0.99999999999999978</v>
      </c>
      <c r="J10" s="28">
        <f>CORREL('DATASET 25%'!$I2:$I21,'DATASET 25%'!J2:J21)</f>
        <v>0.19867985355975659</v>
      </c>
      <c r="K10" s="28">
        <f>CORREL('DATASET 25%'!$I2:$I21,'DATASET 25%'!K2:K21)</f>
        <v>-0.50795175093054701</v>
      </c>
      <c r="L10" s="28">
        <f>CORREL('DATASET 25%'!$I2:$I21,'DATASET 25%'!L2:L21)</f>
        <v>-0.21270395274579301</v>
      </c>
      <c r="M10" s="28">
        <f>CORREL('DATASET 25%'!$I2:$I21,'DATASET 25%'!M2:M21)</f>
        <v>0.75652125860131592</v>
      </c>
      <c r="N10" s="28">
        <f>CORREL('DATASET 25%'!$I2:$I21,'DATASET 25%'!N2:N21)</f>
        <v>-0.10692146977400975</v>
      </c>
      <c r="O10" s="28">
        <f>CORREL('DATASET 25%'!$I2:$I21,'DATASET 25%'!O2:O21)</f>
        <v>-0.58758612353809525</v>
      </c>
      <c r="P10" s="28">
        <f>CORREL('DATASET 25%'!$I2:$I21,'DATASET 25%'!P2:P21)</f>
        <v>0.86102806842697843</v>
      </c>
      <c r="Q10" s="28">
        <f>CORREL('DATASET 25%'!$I2:$I21,'DATASET 25%'!Q2:Q21)</f>
        <v>-0.12108986992412062</v>
      </c>
      <c r="R10" s="28">
        <f>CORREL('DATASET 25%'!$I2:$I21,'DATASET 25%'!R2:R21)</f>
        <v>0.29814239699997191</v>
      </c>
      <c r="S10" s="38">
        <f>CORREL('DATASET 25%'!$I2:$I21,'DATASET 25%'!S2:S21)</f>
        <v>0.76655517583983335</v>
      </c>
      <c r="T10" s="28">
        <f>CORREL('DATASET 25%'!$I2:$I21,'DATASET 25%'!T2:T21)</f>
        <v>-0.64821638503135259</v>
      </c>
      <c r="U10" s="28">
        <f>CORREL('DATASET 25%'!$I2:$I21,'DATASET 25%'!U2:U21)</f>
        <v>0.49130434782608701</v>
      </c>
      <c r="V10" s="28">
        <f>CORREL('DATASET 25%'!$I2:$I21,'DATASET 25%'!V2:V21)</f>
        <v>0.31237800116653941</v>
      </c>
      <c r="W10" s="28">
        <f>CORREL('DATASET 25%'!$I2:$I21,'DATASET 25%'!W2:W21)</f>
        <v>0.24144311666641385</v>
      </c>
      <c r="X10" s="28">
        <f>CORREL('DATASET 25%'!$I2:$I21,'DATASET 25%'!X2:X21)</f>
        <v>-0.62546279162209462</v>
      </c>
      <c r="Y10" s="28">
        <f>CORREL('DATASET 25%'!$I2:$I21,'DATASET 25%'!Y2:Y21)</f>
        <v>-0.77786331701036793</v>
      </c>
      <c r="Z10" s="28">
        <f>CORREL('DATASET 25%'!$I2:$I21,'DATASET 25%'!Z2:Z21)</f>
        <v>-0.56921858711599893</v>
      </c>
      <c r="AA10" s="28">
        <f>CORREL('DATASET 25%'!$I2:$I21,'DATASET 25%'!AA2:AA21)</f>
        <v>-0.1019135568926969</v>
      </c>
      <c r="AB10" s="28">
        <f>CORREL('DATASET 25%'!$I2:$I21,'DATASET 25%'!AB2:AB21)</f>
        <v>-0.38367212705025733</v>
      </c>
      <c r="AC10" s="28">
        <f>CORREL('DATASET 25%'!$I2:$I21,'DATASET 25%'!AC2:AC21)</f>
        <v>-0.38311227166041084</v>
      </c>
      <c r="AD10" s="28">
        <f>CORREL('DATASET 25%'!$I2:$I21,'DATASET 25%'!AD2:AD21)</f>
        <v>0.76641918946731746</v>
      </c>
      <c r="AE10" s="28">
        <f>CORREL('DATASET 25%'!$I2:$I21,'DATASET 25%'!AE2:AE21)</f>
        <v>0.29904998630487029</v>
      </c>
      <c r="AF10" s="28">
        <f>CORREL('DATASET 25%'!$I2:$I21,'DATASET 25%'!AF2:AF21)</f>
        <v>0.68449833324315645</v>
      </c>
      <c r="AG10" s="28">
        <f>CORREL('DATASET 25%'!$I2:$I21,'DATASET 25%'!AG2:AG21)</f>
        <v>-0.19990030135559747</v>
      </c>
      <c r="AH10" s="28">
        <f>CORREL('DATASET 25%'!$I2:$I21,'DATASET 25%'!AH2:AH21)</f>
        <v>-0.3979949748426479</v>
      </c>
      <c r="AI10" s="28">
        <f>CORREL('DATASET 25%'!$I2:$I21,'DATASET 25%'!AI2:AI21)</f>
        <v>-0.31550422372033832</v>
      </c>
      <c r="AJ10" s="28">
        <f>CORREL('DATASET 25%'!$I2:$I21,'DATASET 25%'!AJ2:AJ21)</f>
        <v>-1.1207692012910081E-2</v>
      </c>
      <c r="AK10" s="28">
        <f>CORREL('DATASET 25%'!$I2:$I21,'DATASET 25%'!AK2:AK21)</f>
        <v>4.445759190416336E-2</v>
      </c>
      <c r="AL10" s="28">
        <f>CORREL('DATASET 25%'!$I2:$I21,'DATASET 25%'!AL2:AL21)</f>
        <v>-0.32219166852103398</v>
      </c>
      <c r="AM10" s="28">
        <f>CORREL('DATASET 25%'!$I2:$I21,'DATASET 25%'!AM2:AM21)</f>
        <v>-0.40760780785470396</v>
      </c>
      <c r="AN10" s="28">
        <f>CORREL('DATASET 25%'!$I2:$I21,'DATASET 25%'!AN2:AN21)</f>
        <v>-1.1646819280339451E-2</v>
      </c>
      <c r="AO10" s="28">
        <f>CORREL('DATASET 25%'!$I2:$I21,'DATASET 25%'!AO2:AO21)</f>
        <v>0.558500867412006</v>
      </c>
      <c r="AP10" s="28">
        <f>CORREL('DATASET 25%'!$I2:$I21,'DATASET 25%'!AP2:AP21)</f>
        <v>0.84913625876162768</v>
      </c>
      <c r="AQ10" s="28">
        <f>CORREL('DATASET 25%'!$I2:$I21,'DATASET 25%'!AQ2:AQ21)</f>
        <v>-0.2634316848869161</v>
      </c>
      <c r="AR10" s="28">
        <f>CORREL('DATASET 25%'!$I2:$I21,'DATASET 25%'!AR2:AR21)</f>
        <v>0.41695801924563436</v>
      </c>
      <c r="AS10" s="28">
        <f>CORREL('DATASET 25%'!$I2:$I21,'DATASET 25%'!AS2:AS21)</f>
        <v>0.47934892569618875</v>
      </c>
      <c r="AT10" s="28">
        <f>CORREL('DATASET 25%'!$I2:$I21,'DATASET 25%'!AT2:AT21)</f>
        <v>-0.20618556701030938</v>
      </c>
      <c r="AU10" s="28">
        <f>CORREL('DATASET 25%'!$I2:$I21,'DATASET 25%'!AU2:AU21)</f>
        <v>-0.18181818181818174</v>
      </c>
      <c r="AV10" s="28">
        <f>CORREL('DATASET 25%'!$I2:$I21,'DATASET 25%'!AV2:AV21)</f>
        <v>-0.19553072625698323</v>
      </c>
      <c r="AW10" s="28">
        <f>CORREL('DATASET 25%'!$I2:$I21,'DATASET 25%'!AW2:AW21)</f>
        <v>-0.41358509593425552</v>
      </c>
      <c r="AX10" s="28">
        <f>CORREL('DATASET 25%'!$I2:$I21,'DATASET 25%'!AX2:AX21)</f>
        <v>0.59597447142154913</v>
      </c>
      <c r="AY10" s="28">
        <f>CORREL('DATASET 25%'!$I2:$I21,'DATASET 25%'!AY2:AY21)</f>
        <v>0.40499883563002148</v>
      </c>
    </row>
    <row r="11" spans="1:51" ht="20" customHeight="1" x14ac:dyDescent="0.15">
      <c r="A11" s="30" t="s">
        <v>54</v>
      </c>
      <c r="B11" s="29">
        <f>CORREL('DATASET 25%'!$J2:$J21,'DATASET 25%'!B2:B21)</f>
        <v>-7.5697211155378516E-2</v>
      </c>
      <c r="C11" s="28">
        <f>CORREL('DATASET 25%'!$J2:$J21,'DATASET 25%'!C2:C21)</f>
        <v>0.56551442080159786</v>
      </c>
      <c r="D11" s="28">
        <f>CORREL('DATASET 25%'!$J2:$J21,'DATASET 25%'!D2:D21)</f>
        <v>0.59702960769151858</v>
      </c>
      <c r="E11" s="28">
        <f>CORREL('DATASET 25%'!$J2:$J21,'DATASET 25%'!E2:E21)</f>
        <v>-0.28720380128756123</v>
      </c>
      <c r="F11" s="28">
        <f>CORREL('DATASET 25%'!$J2:$J21,'DATASET 25%'!F2:F21)</f>
        <v>-7.1411494828392333E-2</v>
      </c>
      <c r="G11" s="28">
        <f>CORREL('DATASET 25%'!$J2:$J21,'DATASET 25%'!G2:G21)</f>
        <v>0.17808219178082191</v>
      </c>
      <c r="H11" s="28">
        <f>CORREL('DATASET 25%'!$J2:$J21,'DATASET 25%'!H2:H21)</f>
        <v>0.31625765945794243</v>
      </c>
      <c r="I11" s="42">
        <f>CORREL('DATASET 25%'!$J2:$J21,'DATASET 25%'!I2:I21)</f>
        <v>0.19867985355975659</v>
      </c>
      <c r="J11" s="28">
        <f>CORREL('DATASET 25%'!$J2:$J21,'DATASET 25%'!J2:J21)</f>
        <v>1</v>
      </c>
      <c r="K11" s="28">
        <f>CORREL('DATASET 25%'!$J2:$J21,'DATASET 25%'!K2:K21)</f>
        <v>0.38161638848608825</v>
      </c>
      <c r="L11" s="28">
        <f>CORREL('DATASET 25%'!$J2:$J21,'DATASET 25%'!L2:L21)</f>
        <v>0.41256849850351734</v>
      </c>
      <c r="M11" s="28">
        <f>CORREL('DATASET 25%'!$J2:$J21,'DATASET 25%'!M2:M21)</f>
        <v>7.7005137954212211E-2</v>
      </c>
      <c r="N11" s="28">
        <f>CORREL('DATASET 25%'!$J2:$J21,'DATASET 25%'!N2:N21)</f>
        <v>0.20590233647718659</v>
      </c>
      <c r="O11" s="28">
        <f>CORREL('DATASET 25%'!$J2:$J21,'DATASET 25%'!O2:O21)</f>
        <v>0</v>
      </c>
      <c r="P11" s="28">
        <f>CORREL('DATASET 25%'!$J2:$J21,'DATASET 25%'!P2:P21)</f>
        <v>-0.11180339887498947</v>
      </c>
      <c r="Q11" s="28">
        <f>CORREL('DATASET 25%'!$J2:$J21,'DATASET 25%'!Q2:Q21)</f>
        <v>0.20526770681398995</v>
      </c>
      <c r="R11" s="28">
        <f>CORREL('DATASET 25%'!$J2:$J21,'DATASET 25%'!R2:R21)</f>
        <v>0.80056592302036533</v>
      </c>
      <c r="S11" s="38">
        <f>CORREL('DATASET 25%'!$J2:$J21,'DATASET 25%'!S2:S21)</f>
        <v>0.57341463865695552</v>
      </c>
      <c r="T11" s="28">
        <f>CORREL('DATASET 25%'!$J2:$J21,'DATASET 25%'!T2:T21)</f>
        <v>-0.11693370124992461</v>
      </c>
      <c r="U11" s="28">
        <f>CORREL('DATASET 25%'!$J2:$J21,'DATASET 25%'!U2:U21)</f>
        <v>0.10028634922598996</v>
      </c>
      <c r="V11" s="28">
        <f>CORREL('DATASET 25%'!$J2:$J21,'DATASET 25%'!V2:V21)</f>
        <v>0.58333333333333337</v>
      </c>
      <c r="W11" s="28">
        <f>CORREL('DATASET 25%'!$J2:$J21,'DATASET 25%'!W2:W21)</f>
        <v>0.73817725539152079</v>
      </c>
      <c r="X11" s="28">
        <f>CORREL('DATASET 25%'!$J2:$J21,'DATASET 25%'!X2:X21)</f>
        <v>-3.1935682431108982E-2</v>
      </c>
      <c r="Y11" s="28">
        <f>CORREL('DATASET 25%'!$J2:$J21,'DATASET 25%'!Y2:Y21)</f>
        <v>-5.8315447183666692E-2</v>
      </c>
      <c r="Z11" s="28">
        <f>CORREL('DATASET 25%'!$J2:$J21,'DATASET 25%'!Z2:Z21)</f>
        <v>9.7128586235726455E-2</v>
      </c>
      <c r="AA11" s="28">
        <f>CORREL('DATASET 25%'!$J2:$J21,'DATASET 25%'!AA2:AA21)</f>
        <v>0.32667258202275046</v>
      </c>
      <c r="AB11" s="28">
        <f>CORREL('DATASET 25%'!$J2:$J21,'DATASET 25%'!AB2:AB21)</f>
        <v>-0.67331880187265225</v>
      </c>
      <c r="AC11" s="28">
        <f>CORREL('DATASET 25%'!$J2:$J21,'DATASET 25%'!AC2:AC21)</f>
        <v>-0.1005037815259212</v>
      </c>
      <c r="AD11" s="28">
        <f>CORREL('DATASET 25%'!$J2:$J21,'DATASET 25%'!AD2:AD21)</f>
        <v>0.47629593518044616</v>
      </c>
      <c r="AE11" s="28">
        <f>CORREL('DATASET 25%'!$J2:$J21,'DATASET 25%'!AE2:AE21)</f>
        <v>0.54525565999455483</v>
      </c>
      <c r="AF11" s="28">
        <f>CORREL('DATASET 25%'!$J2:$J21,'DATASET 25%'!AF2:AF21)</f>
        <v>0.5109727978163674</v>
      </c>
      <c r="AG11" s="28">
        <f>CORREL('DATASET 25%'!$J2:$J21,'DATASET 25%'!AG2:AG21)</f>
        <v>-0.18229308607506009</v>
      </c>
      <c r="AH11" s="28">
        <f>CORREL('DATASET 25%'!$J2:$J21,'DATASET 25%'!AH2:AH21)</f>
        <v>-0.85659641084188165</v>
      </c>
      <c r="AI11" s="28">
        <f>CORREL('DATASET 25%'!$J2:$J21,'DATASET 25%'!AI2:AI21)</f>
        <v>0.48000783692661925</v>
      </c>
      <c r="AJ11" s="28">
        <f>CORREL('DATASET 25%'!$J2:$J21,'DATASET 25%'!AJ2:AJ21)</f>
        <v>0.1116111314947551</v>
      </c>
      <c r="AK11" s="28">
        <f>CORREL('DATASET 25%'!$J2:$J21,'DATASET 25%'!AK2:AK21)</f>
        <v>0.41706179872953997</v>
      </c>
      <c r="AL11" s="28">
        <f>CORREL('DATASET 25%'!$J2:$J21,'DATASET 25%'!AL2:AL21)</f>
        <v>-5.3877245844036588E-2</v>
      </c>
      <c r="AM11" s="28">
        <f>CORREL('DATASET 25%'!$J2:$J21,'DATASET 25%'!AM2:AM21)</f>
        <v>-0.37552005303802682</v>
      </c>
      <c r="AN11" s="28">
        <f>CORREL('DATASET 25%'!$J2:$J21,'DATASET 25%'!AN2:AN21)</f>
        <v>-0.56294713590141876</v>
      </c>
      <c r="AO11" s="28">
        <f>CORREL('DATASET 25%'!$J2:$J21,'DATASET 25%'!AO2:AO21)</f>
        <v>0.51326490257473656</v>
      </c>
      <c r="AP11" s="28">
        <f>CORREL('DATASET 25%'!$J2:$J21,'DATASET 25%'!AP2:AP21)</f>
        <v>0.73675231266913921</v>
      </c>
      <c r="AQ11" s="28">
        <f>CORREL('DATASET 25%'!$J2:$J21,'DATASET 25%'!AQ2:AQ21)</f>
        <v>-0.51604684654213995</v>
      </c>
      <c r="AR11" s="28">
        <f>CORREL('DATASET 25%'!$J2:$J21,'DATASET 25%'!AR2:AR21)</f>
        <v>9.2208243965530803E-2</v>
      </c>
      <c r="AS11" s="28">
        <f>CORREL('DATASET 25%'!$J2:$J21,'DATASET 25%'!AS2:AS21)</f>
        <v>0.63461538461538447</v>
      </c>
      <c r="AT11" s="28">
        <f>CORREL('DATASET 25%'!$J2:$J21,'DATASET 25%'!AT2:AT21)</f>
        <v>-6.5923425308721598E-2</v>
      </c>
      <c r="AU11" s="28">
        <f>CORREL('DATASET 25%'!$J2:$J21,'DATASET 25%'!AU2:AU21)</f>
        <v>-0.58028845747399715</v>
      </c>
      <c r="AV11" s="28">
        <f>CORREL('DATASET 25%'!$J2:$J21,'DATASET 25%'!AV2:AV21)</f>
        <v>0.4041616181007503</v>
      </c>
      <c r="AW11" s="28">
        <f>CORREL('DATASET 25%'!$J2:$J21,'DATASET 25%'!AW2:AW21)</f>
        <v>0.17971268936194615</v>
      </c>
      <c r="AX11" s="28">
        <f>CORREL('DATASET 25%'!$J2:$J21,'DATASET 25%'!AX2:AX21)</f>
        <v>0.28076058609010446</v>
      </c>
      <c r="AY11" s="28">
        <f>CORREL('DATASET 25%'!$J2:$J21,'DATASET 25%'!AY2:AY21)</f>
        <v>0.73610963889330572</v>
      </c>
    </row>
    <row r="12" spans="1:51" ht="20" customHeight="1" x14ac:dyDescent="0.15">
      <c r="A12" s="30" t="s">
        <v>10</v>
      </c>
      <c r="B12" s="29">
        <f>CORREL('DATASET 25%'!$K2:$K21,'DATASET 25%'!B2:B21)</f>
        <v>0.66436383882991967</v>
      </c>
      <c r="C12" s="28">
        <f>CORREL('DATASET 25%'!$K2:$K21,'DATASET 25%'!C2:C21)</f>
        <v>0.62305598284903341</v>
      </c>
      <c r="D12" s="28">
        <f>CORREL('DATASET 25%'!$K2:$K21,'DATASET 25%'!D2:D21)</f>
        <v>5.2128603514268679E-2</v>
      </c>
      <c r="E12" s="28">
        <f>CORREL('DATASET 25%'!$K2:$K21,'DATASET 25%'!E2:E21)</f>
        <v>0.37470636276902902</v>
      </c>
      <c r="F12" s="28">
        <f>CORREL('DATASET 25%'!$K2:$K21,'DATASET 25%'!F2:F21)</f>
        <v>0.43629152802035892</v>
      </c>
      <c r="G12" s="28">
        <f>CORREL('DATASET 25%'!$K2:$K21,'DATASET 25%'!G2:G21)</f>
        <v>0.58450568804430858</v>
      </c>
      <c r="H12" s="28">
        <f>CORREL('DATASET 25%'!$K2:$K21,'DATASET 25%'!H2:H21)</f>
        <v>-0.51005891671665482</v>
      </c>
      <c r="I12" s="42">
        <f>CORREL('DATASET 25%'!$K2:$K21,'DATASET 25%'!I2:I21)</f>
        <v>-0.50795175093054701</v>
      </c>
      <c r="J12" s="28">
        <f>CORREL('DATASET 25%'!$K2:$K21,'DATASET 25%'!J2:J21)</f>
        <v>0.38161638848608825</v>
      </c>
      <c r="K12" s="28">
        <f>CORREL('DATASET 25%'!$K2:$K21,'DATASET 25%'!K2:K21)</f>
        <v>1</v>
      </c>
      <c r="L12" s="28">
        <f>CORREL('DATASET 25%'!$K2:$K21,'DATASET 25%'!L2:L21)</f>
        <v>0.23583464022083331</v>
      </c>
      <c r="M12" s="28">
        <f>CORREL('DATASET 25%'!$K2:$K21,'DATASET 25%'!M2:M21)</f>
        <v>-0.82720207989884431</v>
      </c>
      <c r="N12" s="28">
        <f>CORREL('DATASET 25%'!$K2:$K21,'DATASET 25%'!N2:N21)</f>
        <v>0.23650808243982008</v>
      </c>
      <c r="O12" s="28">
        <f>CORREL('DATASET 25%'!$K2:$K21,'DATASET 25%'!O2:O21)</f>
        <v>0.67522015415605929</v>
      </c>
      <c r="P12" s="28">
        <f>CORREL('DATASET 25%'!$K2:$K21,'DATASET 25%'!P2:P21)</f>
        <v>-0.67072118147785686</v>
      </c>
      <c r="Q12" s="28">
        <f>CORREL('DATASET 25%'!$K2:$K21,'DATASET 25%'!Q2:Q21)</f>
        <v>0.37688918072220451</v>
      </c>
      <c r="R12" s="28">
        <f>CORREL('DATASET 25%'!$K2:$K21,'DATASET 25%'!R2:R21)</f>
        <v>0.18898223650461363</v>
      </c>
      <c r="S12" s="38">
        <f>CORREL('DATASET 25%'!$K2:$K21,'DATASET 25%'!S2:S21)</f>
        <v>-0.50572173742417359</v>
      </c>
      <c r="T12" s="28">
        <f>CORREL('DATASET 25%'!$K2:$K21,'DATASET 25%'!T2:T21)</f>
        <v>0.68235508762554542</v>
      </c>
      <c r="U12" s="28">
        <f>CORREL('DATASET 25%'!$K2:$K21,'DATASET 25%'!U2:U21)</f>
        <v>-0.42657495751895919</v>
      </c>
      <c r="V12" s="28">
        <f>CORREL('DATASET 25%'!$K2:$K21,'DATASET 25%'!V2:V21)</f>
        <v>0</v>
      </c>
      <c r="W12" s="28">
        <f>CORREL('DATASET 25%'!$K2:$K21,'DATASET 25%'!W2:W21)</f>
        <v>-2.3890924128374791E-2</v>
      </c>
      <c r="X12" s="28">
        <f>CORREL('DATASET 25%'!$K2:$K21,'DATASET 25%'!X2:X21)</f>
        <v>0.54691411048517258</v>
      </c>
      <c r="Y12" s="28">
        <f>CORREL('DATASET 25%'!$K2:$K21,'DATASET 25%'!Y2:Y21)</f>
        <v>0.67158836189666937</v>
      </c>
      <c r="Z12" s="28">
        <f>CORREL('DATASET 25%'!$K2:$K21,'DATASET 25%'!Z2:Z21)</f>
        <v>0.16499375183421316</v>
      </c>
      <c r="AA12" s="28">
        <f>CORREL('DATASET 25%'!$K2:$K21,'DATASET 25%'!AA2:AA21)</f>
        <v>-0.67194123011049711</v>
      </c>
      <c r="AB12" s="28">
        <f>CORREL('DATASET 25%'!$K2:$K21,'DATASET 25%'!AB2:AB21)</f>
        <v>0.15554275420956382</v>
      </c>
      <c r="AC12" s="28">
        <f>CORREL('DATASET 25%'!$K2:$K21,'DATASET 25%'!AC2:AC21)</f>
        <v>0.45899879624226997</v>
      </c>
      <c r="AD12" s="28">
        <f>CORREL('DATASET 25%'!$K2:$K21,'DATASET 25%'!AD2:AD21)</f>
        <v>-0.49182038455901617</v>
      </c>
      <c r="AE12" s="28">
        <f>CORREL('DATASET 25%'!$K2:$K21,'DATASET 25%'!AE2:AE21)</f>
        <v>-0.15811388300841894</v>
      </c>
      <c r="AF12" s="28">
        <f>CORREL('DATASET 25%'!$K2:$K21,'DATASET 25%'!AF2:AF21)</f>
        <v>-0.2374747493427796</v>
      </c>
      <c r="AG12" s="28">
        <f>CORREL('DATASET 25%'!$K2:$K21,'DATASET 25%'!AG2:AG21)</f>
        <v>0.65625000000000022</v>
      </c>
      <c r="AH12" s="28">
        <f>CORREL('DATASET 25%'!$K2:$K21,'DATASET 25%'!AH2:AH21)</f>
        <v>0.31441407276126621</v>
      </c>
      <c r="AI12" s="28">
        <f>CORREL('DATASET 25%'!$K2:$K21,'DATASET 25%'!AI2:AI21)</f>
        <v>0.2525381361380527</v>
      </c>
      <c r="AJ12" s="28">
        <f>CORREL('DATASET 25%'!$K2:$K21,'DATASET 25%'!AJ2:AJ21)</f>
        <v>0.5667248309647317</v>
      </c>
      <c r="AK12" s="28">
        <f>CORREL('DATASET 25%'!$K2:$K21,'DATASET 25%'!AK2:AK21)</f>
        <v>0.3385075615650705</v>
      </c>
      <c r="AL12" s="28">
        <f>CORREL('DATASET 25%'!$K2:$K21,'DATASET 25%'!AL2:AL21)</f>
        <v>0.2042262839149466</v>
      </c>
      <c r="AM12" s="28">
        <f>CORREL('DATASET 25%'!$K2:$K21,'DATASET 25%'!AM2:AM21)</f>
        <v>0.69560834364025248</v>
      </c>
      <c r="AN12" s="28">
        <f>CORREL('DATASET 25%'!$K2:$K21,'DATASET 25%'!AN2:AN21)</f>
        <v>0.15230499150902668</v>
      </c>
      <c r="AO12" s="28">
        <f>CORREL('DATASET 25%'!$K2:$K21,'DATASET 25%'!AO2:AO21)</f>
        <v>-0.14617633655117157</v>
      </c>
      <c r="AP12" s="28">
        <f>CORREL('DATASET 25%'!$K2:$K21,'DATASET 25%'!AP2:AP21)</f>
        <v>-0.17442550038556948</v>
      </c>
      <c r="AQ12" s="28">
        <f>CORREL('DATASET 25%'!$K2:$K21,'DATASET 25%'!AQ2:AQ21)</f>
        <v>-7.9056941504209513E-2</v>
      </c>
      <c r="AR12" s="28">
        <f>CORREL('DATASET 25%'!$K2:$K21,'DATASET 25%'!AR2:AR21)</f>
        <v>-0.40163496987104397</v>
      </c>
      <c r="AS12" s="28">
        <f>CORREL('DATASET 25%'!$K2:$K21,'DATASET 25%'!AS2:AS21)</f>
        <v>7.183697139158636E-2</v>
      </c>
      <c r="AT12" s="28">
        <f>CORREL('DATASET 25%'!$K2:$K21,'DATASET 25%'!AT2:AT21)</f>
        <v>0.49236596391733084</v>
      </c>
      <c r="AU12" s="28">
        <f>CORREL('DATASET 25%'!$K2:$K21,'DATASET 25%'!AU2:AU21)</f>
        <v>0.11389336290235505</v>
      </c>
      <c r="AV12" s="28">
        <f>CORREL('DATASET 25%'!$K2:$K21,'DATASET 25%'!AV2:AV21)</f>
        <v>0.37601786192323755</v>
      </c>
      <c r="AW12" s="28">
        <f>CORREL('DATASET 25%'!$K2:$K21,'DATASET 25%'!AW2:AW21)</f>
        <v>0.80633955019453984</v>
      </c>
      <c r="AX12" s="28">
        <f>CORREL('DATASET 25%'!$K2:$K21,'DATASET 25%'!AX2:AX21)</f>
        <v>-0.11771773894935468</v>
      </c>
      <c r="AY12" s="28">
        <f>CORREL('DATASET 25%'!$K2:$K21,'DATASET 25%'!AY2:AY21)</f>
        <v>-8.3045479853739959E-2</v>
      </c>
    </row>
    <row r="13" spans="1:51" ht="20" customHeight="1" x14ac:dyDescent="0.15">
      <c r="A13" s="30" t="s">
        <v>11</v>
      </c>
      <c r="B13" s="29">
        <f>CORREL('DATASET 25%'!$L2:$L21,'DATASET 25%'!B2:B21)</f>
        <v>-0.22507034547615984</v>
      </c>
      <c r="C13" s="28">
        <f>CORREL('DATASET 25%'!$L2:$L21,'DATASET 25%'!C2:C21)</f>
        <v>0.32084230763604432</v>
      </c>
      <c r="D13" s="28">
        <f>CORREL('DATASET 25%'!$L2:$L21,'DATASET 25%'!D2:D21)</f>
        <v>0.5434899358947729</v>
      </c>
      <c r="E13" s="28">
        <f>CORREL('DATASET 25%'!$L2:$L21,'DATASET 25%'!E2:E21)</f>
        <v>-0.35261557443201719</v>
      </c>
      <c r="F13" s="28">
        <f>CORREL('DATASET 25%'!$L2:$L21,'DATASET 25%'!F2:F21)</f>
        <v>-0.20847900962281715</v>
      </c>
      <c r="G13" s="28">
        <f>CORREL('DATASET 25%'!$L2:$L21,'DATASET 25%'!G2:G21)</f>
        <v>5.6136089142383966E-2</v>
      </c>
      <c r="H13" s="28">
        <f>CORREL('DATASET 25%'!$L2:$L21,'DATASET 25%'!H2:H21)</f>
        <v>0.43172969847391629</v>
      </c>
      <c r="I13" s="42">
        <f>CORREL('DATASET 25%'!$L2:$L21,'DATASET 25%'!I2:I21)</f>
        <v>-0.21270395274579301</v>
      </c>
      <c r="J13" s="28">
        <f>CORREL('DATASET 25%'!$L2:$L21,'DATASET 25%'!J2:J21)</f>
        <v>0.41256849850351734</v>
      </c>
      <c r="K13" s="28">
        <f>CORREL('DATASET 25%'!$L2:$L21,'DATASET 25%'!K2:K21)</f>
        <v>0.23583464022083331</v>
      </c>
      <c r="L13" s="28">
        <f>CORREL('DATASET 25%'!$L2:$L21,'DATASET 25%'!L2:L21)</f>
        <v>1</v>
      </c>
      <c r="M13" s="28">
        <f>CORREL('DATASET 25%'!$L2:$L21,'DATASET 25%'!M2:M21)</f>
        <v>0.22016072465553677</v>
      </c>
      <c r="N13" s="28">
        <f>CORREL('DATASET 25%'!$L2:$L21,'DATASET 25%'!N2:N21)</f>
        <v>0.23968063858108835</v>
      </c>
      <c r="O13" s="28">
        <f>CORREL('DATASET 25%'!$L2:$L21,'DATASET 25%'!O2:O21)</f>
        <v>-0.34532451406232201</v>
      </c>
      <c r="P13" s="28">
        <f>CORREL('DATASET 25%'!$L2:$L21,'DATASET 25%'!P2:P21)</f>
        <v>-0.18085106382978725</v>
      </c>
      <c r="Q13" s="28">
        <f>CORREL('DATASET 25%'!$L2:$L21,'DATASET 25%'!Q2:Q21)</f>
        <v>0.34289213363570598</v>
      </c>
      <c r="R13" s="28">
        <f>CORREL('DATASET 25%'!$L2:$L21,'DATASET 25%'!R2:R21)</f>
        <v>0.22956556456066268</v>
      </c>
      <c r="S13" s="38">
        <f>CORREL('DATASET 25%'!$L2:$L21,'DATASET 25%'!S2:S21)</f>
        <v>0.46481589468656326</v>
      </c>
      <c r="T13" s="28">
        <f>CORREL('DATASET 25%'!$L2:$L21,'DATASET 25%'!T2:T21)</f>
        <v>-0.33976858368579183</v>
      </c>
      <c r="U13" s="28">
        <f>CORREL('DATASET 25%'!$L2:$L21,'DATASET 25%'!U2:U21)</f>
        <v>-0.16427762763565265</v>
      </c>
      <c r="V13" s="28">
        <f>CORREL('DATASET 25%'!$L2:$L21,'DATASET 25%'!V2:V21)</f>
        <v>0.46717659215115664</v>
      </c>
      <c r="W13" s="28">
        <f>CORREL('DATASET 25%'!$L2:$L21,'DATASET 25%'!W2:W21)</f>
        <v>0.50050198015877745</v>
      </c>
      <c r="X13" s="28">
        <f>CORREL('DATASET 25%'!$L2:$L21,'DATASET 25%'!X2:X21)</f>
        <v>-0.16416011933043292</v>
      </c>
      <c r="Y13" s="28">
        <f>CORREL('DATASET 25%'!$L2:$L21,'DATASET 25%'!Y2:Y21)</f>
        <v>-0.21854334588326119</v>
      </c>
      <c r="Z13" s="28">
        <f>CORREL('DATASET 25%'!$L2:$L21,'DATASET 25%'!Z2:Z21)</f>
        <v>7.4363659922375328E-2</v>
      </c>
      <c r="AA13" s="28">
        <f>CORREL('DATASET 25%'!$L2:$L21,'DATASET 25%'!AA2:AA21)</f>
        <v>0.29362732978667705</v>
      </c>
      <c r="AB13" s="28">
        <f>CORREL('DATASET 25%'!$L2:$L21,'DATASET 25%'!AB2:AB21)</f>
        <v>-0.77324858207016733</v>
      </c>
      <c r="AC13" s="28">
        <f>CORREL('DATASET 25%'!$L2:$L21,'DATASET 25%'!AC2:AC21)</f>
        <v>-0.37933540414415484</v>
      </c>
      <c r="AD13" s="28">
        <f>CORREL('DATASET 25%'!$L2:$L21,'DATASET 25%'!AD2:AD21)</f>
        <v>5.4923503638109036E-2</v>
      </c>
      <c r="AE13" s="28">
        <f>CORREL('DATASET 25%'!$L2:$L21,'DATASET 25%'!AE2:AE21)</f>
        <v>0.31030383361897357</v>
      </c>
      <c r="AF13" s="28">
        <f>CORREL('DATASET 25%'!$L2:$L21,'DATASET 25%'!AF2:AF21)</f>
        <v>0.17036656890909538</v>
      </c>
      <c r="AG13" s="28">
        <f>CORREL('DATASET 25%'!$L2:$L21,'DATASET 25%'!AG2:AG21)</f>
        <v>-0.17434741848535132</v>
      </c>
      <c r="AH13" s="28">
        <f>CORREL('DATASET 25%'!$L2:$L21,'DATASET 25%'!AH2:AH21)</f>
        <v>-0.43914197885977774</v>
      </c>
      <c r="AI13" s="28">
        <f>CORREL('DATASET 25%'!$L2:$L21,'DATASET 25%'!AI2:AI21)</f>
        <v>0.14491645112472706</v>
      </c>
      <c r="AJ13" s="28">
        <f>CORREL('DATASET 25%'!$L2:$L21,'DATASET 25%'!AJ2:AJ21)</f>
        <v>-0.41261490923033289</v>
      </c>
      <c r="AK13" s="28">
        <f>CORREL('DATASET 25%'!$L2:$L21,'DATASET 25%'!AK2:AK21)</f>
        <v>0.21580642477401735</v>
      </c>
      <c r="AL13" s="28">
        <f>CORREL('DATASET 25%'!$L2:$L21,'DATASET 25%'!AL2:AL21)</f>
        <v>-0.15628391946202996</v>
      </c>
      <c r="AM13" s="28">
        <f>CORREL('DATASET 25%'!$L2:$L21,'DATASET 25%'!AM2:AM21)</f>
        <v>-9.501461875826149E-2</v>
      </c>
      <c r="AN13" s="28">
        <f>CORREL('DATASET 25%'!$L2:$L21,'DATASET 25%'!AN2:AN21)</f>
        <v>-0.34746468499269551</v>
      </c>
      <c r="AO13" s="28">
        <f>CORREL('DATASET 25%'!$L2:$L21,'DATASET 25%'!AO2:AO21)</f>
        <v>0.35654474145668474</v>
      </c>
      <c r="AP13" s="28">
        <f>CORREL('DATASET 25%'!$L2:$L21,'DATASET 25%'!AP2:AP21)</f>
        <v>4.0262562778584969E-2</v>
      </c>
      <c r="AQ13" s="28">
        <f>CORREL('DATASET 25%'!$L2:$L21,'DATASET 25%'!AQ2:AQ21)</f>
        <v>9.7823197608903747E-2</v>
      </c>
      <c r="AR13" s="28">
        <f>CORREL('DATASET 25%'!$L2:$L21,'DATASET 25%'!AR2:AR21)</f>
        <v>-0.37954481916183996</v>
      </c>
      <c r="AS13" s="28">
        <f>CORREL('DATASET 25%'!$L2:$L21,'DATASET 25%'!AS2:AS21)</f>
        <v>0.12535663410560174</v>
      </c>
      <c r="AT13" s="28">
        <f>CORREL('DATASET 25%'!$L2:$L21,'DATASET 25%'!AT2:AT21)</f>
        <v>-0.16566307331251645</v>
      </c>
      <c r="AU13" s="28">
        <f>CORREL('DATASET 25%'!$L2:$L21,'DATASET 25%'!AU2:AU21)</f>
        <v>2.3186944788008451E-2</v>
      </c>
      <c r="AV13" s="28">
        <f>CORREL('DATASET 25%'!$L2:$L21,'DATASET 25%'!AV2:AV21)</f>
        <v>0.54129908076375</v>
      </c>
      <c r="AW13" s="28">
        <f>CORREL('DATASET 25%'!$L2:$L21,'DATASET 25%'!AW2:AW21)</f>
        <v>9.1978330158633839E-2</v>
      </c>
      <c r="AX13" s="28">
        <f>CORREL('DATASET 25%'!$L2:$L21,'DATASET 25%'!AX2:AX21)</f>
        <v>4.9309568779647386E-2</v>
      </c>
      <c r="AY13" s="28">
        <f>CORREL('DATASET 25%'!$L2:$L21,'DATASET 25%'!AY2:AY21)</f>
        <v>0.39125402252874986</v>
      </c>
    </row>
    <row r="14" spans="1:51" ht="20" customHeight="1" x14ac:dyDescent="0.15">
      <c r="A14" s="30" t="s">
        <v>12</v>
      </c>
      <c r="B14" s="29">
        <f>CORREL('DATASET 25%'!$M2:$M21,'DATASET 25%'!B2:B21)</f>
        <v>-0.68452409574317996</v>
      </c>
      <c r="C14" s="28">
        <f>CORREL('DATASET 25%'!$M2:$M21,'DATASET 25%'!C2:C21)</f>
        <v>-0.57383972971399433</v>
      </c>
      <c r="D14" s="28">
        <f>CORREL('DATASET 25%'!$M2:$M21,'DATASET 25%'!D2:D21)</f>
        <v>0.12055275622302061</v>
      </c>
      <c r="E14" s="28">
        <f>CORREL('DATASET 25%'!$M2:$M21,'DATASET 25%'!E2:E21)</f>
        <v>-0.93923866071945461</v>
      </c>
      <c r="F14" s="28">
        <f>CORREL('DATASET 25%'!$M2:$M21,'DATASET 25%'!F2:F21)</f>
        <v>-0.32659863237109038</v>
      </c>
      <c r="G14" s="28">
        <f>CORREL('DATASET 25%'!$M2:$M21,'DATASET 25%'!G2:G21)</f>
        <v>-4.4669275759451899E-2</v>
      </c>
      <c r="H14" s="28">
        <f>CORREL('DATASET 25%'!$M2:$M21,'DATASET 25%'!H2:H21)</f>
        <v>0.22922730202450112</v>
      </c>
      <c r="I14" s="42">
        <f>CORREL('DATASET 25%'!$M2:$M21,'DATASET 25%'!I2:I21)</f>
        <v>0.75652125860131592</v>
      </c>
      <c r="J14" s="28">
        <f>CORREL('DATASET 25%'!$M2:$M21,'DATASET 25%'!J2:J21)</f>
        <v>7.7005137954212211E-2</v>
      </c>
      <c r="K14" s="28">
        <f>CORREL('DATASET 25%'!$M2:$M21,'DATASET 25%'!K2:K21)</f>
        <v>-0.82720207989884431</v>
      </c>
      <c r="L14" s="28">
        <f>CORREL('DATASET 25%'!$M2:$M21,'DATASET 25%'!L2:L21)</f>
        <v>0.22016072465553677</v>
      </c>
      <c r="M14" s="28">
        <f>CORREL('DATASET 25%'!$M2:$M21,'DATASET 25%'!M2:M21)</f>
        <v>0.99999999999999989</v>
      </c>
      <c r="N14" s="28">
        <f>CORREL('DATASET 25%'!$M2:$M21,'DATASET 25%'!N2:N21)</f>
        <v>-0.13413055020296877</v>
      </c>
      <c r="O14" s="28">
        <f>CORREL('DATASET 25%'!$M2:$M21,'DATASET 25%'!O2:O21)</f>
        <v>-0.65784918099696232</v>
      </c>
      <c r="P14" s="28">
        <f>CORREL('DATASET 25%'!$M2:$M21,'DATASET 25%'!P2:P21)</f>
        <v>0.55844155844155841</v>
      </c>
      <c r="Q14" s="28">
        <f>CORREL('DATASET 25%'!$M2:$M21,'DATASET 25%'!Q2:Q21)</f>
        <v>-0.17605197258009608</v>
      </c>
      <c r="R14" s="28">
        <f>CORREL('DATASET 25%'!$M2:$M21,'DATASET 25%'!R2:R21)</f>
        <v>0.4661283298893017</v>
      </c>
      <c r="S14" s="38">
        <f>CORREL('DATASET 25%'!$M2:$M21,'DATASET 25%'!S2:S21)</f>
        <v>0.66005870868578009</v>
      </c>
      <c r="T14" s="28">
        <f>CORREL('DATASET 25%'!$M2:$M21,'DATASET 25%'!T2:T21)</f>
        <v>-0.72527746225859946</v>
      </c>
      <c r="U14" s="28">
        <f>CORREL('DATASET 25%'!$M2:$M21,'DATASET 25%'!U2:U21)</f>
        <v>0.48657472898560727</v>
      </c>
      <c r="V14" s="28">
        <f>CORREL('DATASET 25%'!$M2:$M21,'DATASET 25%'!V2:V21)</f>
        <v>0.4490132550669374</v>
      </c>
      <c r="W14" s="28">
        <f>CORREL('DATASET 25%'!$M2:$M21,'DATASET 25%'!W2:W21)</f>
        <v>0.42933879074109182</v>
      </c>
      <c r="X14" s="28">
        <f>CORREL('DATASET 25%'!$M2:$M21,'DATASET 25%'!X2:X21)</f>
        <v>-0.76254617866593799</v>
      </c>
      <c r="Y14" s="28">
        <f>CORREL('DATASET 25%'!$M2:$M21,'DATASET 25%'!Y2:Y21)</f>
        <v>-0.79628083673245242</v>
      </c>
      <c r="Z14" s="28">
        <f>CORREL('DATASET 25%'!$M2:$M21,'DATASET 25%'!Z2:Z21)</f>
        <v>-0.26480724350665391</v>
      </c>
      <c r="AA14" s="28">
        <f>CORREL('DATASET 25%'!$M2:$M21,'DATASET 25%'!AA2:AA21)</f>
        <v>0.50699672130401641</v>
      </c>
      <c r="AB14" s="28">
        <f>CORREL('DATASET 25%'!$M2:$M21,'DATASET 25%'!AB2:AB21)</f>
        <v>-0.45238095238095238</v>
      </c>
      <c r="AC14" s="28">
        <f>CORREL('DATASET 25%'!$M2:$M21,'DATASET 25%'!AC2:AC21)</f>
        <v>-0.4231278238823159</v>
      </c>
      <c r="AD14" s="28">
        <f>CORREL('DATASET 25%'!$M2:$M21,'DATASET 25%'!AD2:AD21)</f>
        <v>0.60206639172339349</v>
      </c>
      <c r="AE14" s="28">
        <f>CORREL('DATASET 25%'!$M2:$M21,'DATASET 25%'!AE2:AE21)</f>
        <v>0.49374193110101888</v>
      </c>
      <c r="AF14" s="28">
        <f>CORREL('DATASET 25%'!$M2:$M21,'DATASET 25%'!AF2:AF21)</f>
        <v>0.31303423234849176</v>
      </c>
      <c r="AG14" s="28">
        <f>CORREL('DATASET 25%'!$M2:$M21,'DATASET 25%'!AG2:AG21)</f>
        <v>-0.57200709156458562</v>
      </c>
      <c r="AH14" s="28">
        <f>CORREL('DATASET 25%'!$M2:$M21,'DATASET 25%'!AH2:AH21)</f>
        <v>-0.2425553875643785</v>
      </c>
      <c r="AI14" s="28">
        <f>CORREL('DATASET 25%'!$M2:$M21,'DATASET 25%'!AI2:AI21)</f>
        <v>0.16118595467047644</v>
      </c>
      <c r="AJ14" s="28">
        <f>CORREL('DATASET 25%'!$M2:$M21,'DATASET 25%'!AJ2:AJ21)</f>
        <v>-0.12620079606183521</v>
      </c>
      <c r="AK14" s="28">
        <f>CORREL('DATASET 25%'!$M2:$M21,'DATASET 25%'!AK2:AK21)</f>
        <v>0.39297079059589762</v>
      </c>
      <c r="AL14" s="28">
        <f>CORREL('DATASET 25%'!$M2:$M21,'DATASET 25%'!AL2:AL21)</f>
        <v>-0.23450882356048283</v>
      </c>
      <c r="AM14" s="28">
        <f>CORREL('DATASET 25%'!$M2:$M21,'DATASET 25%'!AM2:AM21)</f>
        <v>-0.62311066874856569</v>
      </c>
      <c r="AN14" s="28">
        <f>CORREL('DATASET 25%'!$M2:$M21,'DATASET 25%'!AN2:AN21)</f>
        <v>3.0498137976084218E-2</v>
      </c>
      <c r="AO14" s="28">
        <f>CORREL('DATASET 25%'!$M2:$M21,'DATASET 25%'!AO2:AO21)</f>
        <v>0.65955213655170297</v>
      </c>
      <c r="AP14" s="28">
        <f>CORREL('DATASET 25%'!$M2:$M21,'DATASET 25%'!AP2:AP21)</f>
        <v>0.5629370729914206</v>
      </c>
      <c r="AQ14" s="28">
        <f>CORREL('DATASET 25%'!$M2:$M21,'DATASET 25%'!AQ2:AQ21)</f>
        <v>-0.26894273433173405</v>
      </c>
      <c r="AR14" s="28">
        <f>CORREL('DATASET 25%'!$M2:$M21,'DATASET 25%'!AR2:AR21)</f>
        <v>0.23648087156127265</v>
      </c>
      <c r="AS14" s="28">
        <f>CORREL('DATASET 25%'!$M2:$M21,'DATASET 25%'!AS2:AS21)</f>
        <v>0.49329338226396252</v>
      </c>
      <c r="AT14" s="28">
        <f>CORREL('DATASET 25%'!$M2:$M21,'DATASET 25%'!AT2:AT21)</f>
        <v>-0.60580049458624174</v>
      </c>
      <c r="AU14" s="28">
        <f>CORREL('DATASET 25%'!$M2:$M21,'DATASET 25%'!AU2:AU21)</f>
        <v>-0.12344267996967356</v>
      </c>
      <c r="AV14" s="28">
        <f>CORREL('DATASET 25%'!$M2:$M21,'DATASET 25%'!AV2:AV21)</f>
        <v>4.5116505897291759E-3</v>
      </c>
      <c r="AW14" s="28">
        <f>CORREL('DATASET 25%'!$M2:$M21,'DATASET 25%'!AW2:AW21)</f>
        <v>-0.69480833377965101</v>
      </c>
      <c r="AX14" s="28">
        <f>CORREL('DATASET 25%'!$M2:$M21,'DATASET 25%'!AX2:AX21)</f>
        <v>0.32643582516653502</v>
      </c>
      <c r="AY14" s="28">
        <f>CORREL('DATASET 25%'!$M2:$M21,'DATASET 25%'!AY2:AY21)</f>
        <v>0.28562507898295036</v>
      </c>
    </row>
    <row r="15" spans="1:51" ht="20" customHeight="1" x14ac:dyDescent="0.15">
      <c r="A15" s="30" t="s">
        <v>13</v>
      </c>
      <c r="B15" s="29">
        <f>CORREL('DATASET 25%'!$N2:$N21,'DATASET 25%'!B2:B21)</f>
        <v>-0.1857308236232342</v>
      </c>
      <c r="C15" s="28">
        <f>CORREL('DATASET 25%'!$N2:$N21,'DATASET 25%'!C2:C21)</f>
        <v>-0.22482665085101569</v>
      </c>
      <c r="D15" s="28">
        <f>CORREL('DATASET 25%'!$N2:$N21,'DATASET 25%'!D2:D21)</f>
        <v>0.34848736283275628</v>
      </c>
      <c r="E15" s="28">
        <f>CORREL('DATASET 25%'!$N2:$N21,'DATASET 25%'!E2:E21)</f>
        <v>0</v>
      </c>
      <c r="F15" s="28">
        <f>CORREL('DATASET 25%'!$N2:$N21,'DATASET 25%'!F2:F21)</f>
        <v>-0.55427399547369327</v>
      </c>
      <c r="G15" s="28">
        <f>CORREL('DATASET 25%'!$N2:$N21,'DATASET 25%'!G2:G21)</f>
        <v>0.28062637965462461</v>
      </c>
      <c r="H15" s="28">
        <f>CORREL('DATASET 25%'!$N2:$N21,'DATASET 25%'!H2:H21)</f>
        <v>-0.26211903316426155</v>
      </c>
      <c r="I15" s="42">
        <f>CORREL('DATASET 25%'!$N2:$N21,'DATASET 25%'!I2:I21)</f>
        <v>-0.10692146977400975</v>
      </c>
      <c r="J15" s="28">
        <f>CORREL('DATASET 25%'!$N2:$N21,'DATASET 25%'!J2:J21)</f>
        <v>0.20590233647718659</v>
      </c>
      <c r="K15" s="28">
        <f>CORREL('DATASET 25%'!$N2:$N21,'DATASET 25%'!K2:K21)</f>
        <v>0.23650808243982008</v>
      </c>
      <c r="L15" s="28">
        <f>CORREL('DATASET 25%'!$N2:$N21,'DATASET 25%'!L2:L21)</f>
        <v>0.23968063858108835</v>
      </c>
      <c r="M15" s="28">
        <f>CORREL('DATASET 25%'!$N2:$N21,'DATASET 25%'!M2:M21)</f>
        <v>-0.13413055020296877</v>
      </c>
      <c r="N15" s="28">
        <f>CORREL('DATASET 25%'!$N2:$N21,'DATASET 25%'!N2:N21)</f>
        <v>1.0000000000000002</v>
      </c>
      <c r="O15" s="28">
        <f>CORREL('DATASET 25%'!$N2:$N21,'DATASET 25%'!O2:O21)</f>
        <v>-0.373508940416998</v>
      </c>
      <c r="P15" s="28">
        <f>CORREL('DATASET 25%'!$N2:$N21,'DATASET 25%'!P2:P21)</f>
        <v>0.56434284053370387</v>
      </c>
      <c r="Q15" s="28">
        <f>CORREL('DATASET 25%'!$N2:$N21,'DATASET 25%'!Q2:Q21)</f>
        <v>0.31799936400190798</v>
      </c>
      <c r="R15" s="28">
        <f>CORREL('DATASET 25%'!$N2:$N21,'DATASET 25%'!R2:R21)</f>
        <v>0.62988977893218623</v>
      </c>
      <c r="S15" s="38">
        <f>CORREL('DATASET 25%'!$N2:$N21,'DATASET 25%'!S2:S21)</f>
        <v>0.30150393270336434</v>
      </c>
      <c r="T15" s="28">
        <f>CORREL('DATASET 25%'!$N2:$N21,'DATASET 25%'!T2:T21)</f>
        <v>-0.14098116300675673</v>
      </c>
      <c r="U15" s="28">
        <f>CORREL('DATASET 25%'!$N2:$N21,'DATASET 25%'!U2:U21)</f>
        <v>0.22206996305928156</v>
      </c>
      <c r="V15" s="28">
        <f>CORREL('DATASET 25%'!$N2:$N21,'DATASET 25%'!V2:V21)</f>
        <v>0.2370227315699886</v>
      </c>
      <c r="W15" s="28">
        <f>CORREL('DATASET 25%'!$N2:$N21,'DATASET 25%'!W2:W21)</f>
        <v>-3.0661001582013854E-2</v>
      </c>
      <c r="X15" s="28">
        <f>CORREL('DATASET 25%'!$N2:$N21,'DATASET 25%'!X2:X21)</f>
        <v>-2.2349507813383719E-2</v>
      </c>
      <c r="Y15" s="28">
        <f>CORREL('DATASET 25%'!$N2:$N21,'DATASET 25%'!Y2:Y21)</f>
        <v>-0.36469840431289841</v>
      </c>
      <c r="Z15" s="28">
        <f>CORREL('DATASET 25%'!$N2:$N21,'DATASET 25%'!Z2:Z21)</f>
        <v>-0.25106099829261791</v>
      </c>
      <c r="AA15" s="28">
        <f>CORREL('DATASET 25%'!$N2:$N21,'DATASET 25%'!AA2:AA21)</f>
        <v>0.31722063428725772</v>
      </c>
      <c r="AB15" s="28">
        <f>CORREL('DATASET 25%'!$N2:$N21,'DATASET 25%'!AB2:AB21)</f>
        <v>-0.44696841258925935</v>
      </c>
      <c r="AC15" s="28">
        <f>CORREL('DATASET 25%'!$N2:$N21,'DATASET 25%'!AC2:AC21)</f>
        <v>0.27452198243597858</v>
      </c>
      <c r="AD15" s="28">
        <f>CORREL('DATASET 25%'!$N2:$N21,'DATASET 25%'!AD2:AD21)</f>
        <v>-0.22742941307367101</v>
      </c>
      <c r="AE15" s="28">
        <f>CORREL('DATASET 25%'!$N2:$N21,'DATASET 25%'!AE2:AE21)</f>
        <v>0.60317460317460292</v>
      </c>
      <c r="AF15" s="28">
        <f>CORREL('DATASET 25%'!$N2:$N21,'DATASET 25%'!AF2:AF21)</f>
        <v>-6.957686774774953E-2</v>
      </c>
      <c r="AG15" s="28">
        <f>CORREL('DATASET 25%'!$N2:$N21,'DATASET 25%'!AG2:AG21)</f>
        <v>8.4274982807905255E-2</v>
      </c>
      <c r="AH15" s="28">
        <f>CORREL('DATASET 25%'!$N2:$N21,'DATASET 25%'!AH2:AH21)</f>
        <v>-0.17677669529663678</v>
      </c>
      <c r="AI15" s="28">
        <f>CORREL('DATASET 25%'!$N2:$N21,'DATASET 25%'!AI2:AI21)</f>
        <v>0.39596459438202714</v>
      </c>
      <c r="AJ15" s="28">
        <f>CORREL('DATASET 25%'!$N2:$N21,'DATASET 25%'!AJ2:AJ21)</f>
        <v>-9.8171443467462621E-2</v>
      </c>
      <c r="AK15" s="28">
        <f>CORREL('DATASET 25%'!$N2:$N21,'DATASET 25%'!AK2:AK21)</f>
        <v>9.4522510071864602E-2</v>
      </c>
      <c r="AL15" s="28">
        <f>CORREL('DATASET 25%'!$N2:$N21,'DATASET 25%'!AL2:AL21)</f>
        <v>0.4385290096535146</v>
      </c>
      <c r="AM15" s="28">
        <f>CORREL('DATASET 25%'!$N2:$N21,'DATASET 25%'!AM2:AM21)</f>
        <v>0.29880715233359845</v>
      </c>
      <c r="AN15" s="28">
        <f>CORREL('DATASET 25%'!$N2:$N21,'DATASET 25%'!AN2:AN21)</f>
        <v>-6.6648895996840971E-2</v>
      </c>
      <c r="AO15" s="28">
        <f>CORREL('DATASET 25%'!$N2:$N21,'DATASET 25%'!AO2:AO21)</f>
        <v>0.1579345138264476</v>
      </c>
      <c r="AP15" s="28">
        <f>CORREL('DATASET 25%'!$N2:$N21,'DATASET 25%'!AP2:AP21)</f>
        <v>0.30012252399939049</v>
      </c>
      <c r="AQ15" s="28">
        <f>CORREL('DATASET 25%'!$N2:$N21,'DATASET 25%'!AQ2:AQ21)</f>
        <v>0.35007002100700246</v>
      </c>
      <c r="AR15" s="28">
        <f>CORREL('DATASET 25%'!$N2:$N21,'DATASET 25%'!AR2:AR21)</f>
        <v>-8.1877412114240253E-2</v>
      </c>
      <c r="AS15" s="28">
        <f>CORREL('DATASET 25%'!$N2:$N21,'DATASET 25%'!AS2:AS21)</f>
        <v>0.49936346250449537</v>
      </c>
      <c r="AT15" s="28">
        <f>CORREL('DATASET 25%'!$N2:$N21,'DATASET 25%'!AT2:AT21)</f>
        <v>-0.22077621784236603</v>
      </c>
      <c r="AU15" s="28">
        <f>CORREL('DATASET 25%'!$N2:$N21,'DATASET 25%'!AU2:AU21)</f>
        <v>-0.19473404508356196</v>
      </c>
      <c r="AV15" s="28">
        <f>CORREL('DATASET 25%'!$N2:$N21,'DATASET 25%'!AV2:AV21)</f>
        <v>0.42175054120051048</v>
      </c>
      <c r="AW15" s="28">
        <f>CORREL('DATASET 25%'!$N2:$N21,'DATASET 25%'!AW2:AW21)</f>
        <v>-0.11231623250591986</v>
      </c>
      <c r="AX15" s="28">
        <f>CORREL('DATASET 25%'!$N2:$N21,'DATASET 25%'!AX2:AX21)</f>
        <v>0.45536443738321652</v>
      </c>
      <c r="AY15" s="28">
        <f>CORREL('DATASET 25%'!$N2:$N21,'DATASET 25%'!AY2:AY21)</f>
        <v>8.9280538152240227E-2</v>
      </c>
    </row>
    <row r="16" spans="1:51" ht="20" customHeight="1" x14ac:dyDescent="0.15">
      <c r="A16" s="30" t="s">
        <v>14</v>
      </c>
      <c r="B16" s="29">
        <f>CORREL('DATASET 25%'!$O2:$O21,'DATASET 25%'!B2:B21)</f>
        <v>0.83542430609219964</v>
      </c>
      <c r="C16" s="28">
        <f>CORREL('DATASET 25%'!$O2:$O21,'DATASET 25%'!C2:C21)</f>
        <v>0.45965695230848214</v>
      </c>
      <c r="D16" s="28">
        <f>CORREL('DATASET 25%'!$O2:$O21,'DATASET 25%'!D2:D21)</f>
        <v>-0.21677749238102997</v>
      </c>
      <c r="E16" s="28">
        <f>CORREL('DATASET 25%'!$O2:$O21,'DATASET 25%'!E2:E21)</f>
        <v>0.72599689051845318</v>
      </c>
      <c r="F16" s="28">
        <f>CORREL('DATASET 25%'!$O2:$O21,'DATASET 25%'!F2:F21)</f>
        <v>0.8650493021832798</v>
      </c>
      <c r="G16" s="28">
        <f>CORREL('DATASET 25%'!$O2:$O21,'DATASET 25%'!G2:G21)</f>
        <v>0.57945682680068489</v>
      </c>
      <c r="H16" s="28">
        <f>CORREL('DATASET 25%'!$O2:$O21,'DATASET 25%'!H2:H21)</f>
        <v>-0.75877736332772472</v>
      </c>
      <c r="I16" s="42">
        <f>CORREL('DATASET 25%'!$O2:$O21,'DATASET 25%'!I2:I21)</f>
        <v>-0.58758612353809525</v>
      </c>
      <c r="J16" s="28">
        <f>CORREL('DATASET 25%'!$O2:$O21,'DATASET 25%'!J2:J21)</f>
        <v>0</v>
      </c>
      <c r="K16" s="28">
        <f>CORREL('DATASET 25%'!$O2:$O21,'DATASET 25%'!K2:K21)</f>
        <v>0.67522015415605929</v>
      </c>
      <c r="L16" s="28">
        <f>CORREL('DATASET 25%'!$O2:$O21,'DATASET 25%'!L2:L21)</f>
        <v>-0.34532451406232201</v>
      </c>
      <c r="M16" s="28">
        <f>CORREL('DATASET 25%'!$O2:$O21,'DATASET 25%'!M2:M21)</f>
        <v>-0.65784918099696232</v>
      </c>
      <c r="N16" s="28">
        <f>CORREL('DATASET 25%'!$O2:$O21,'DATASET 25%'!N2:N21)</f>
        <v>-0.373508940416998</v>
      </c>
      <c r="O16" s="28">
        <f>CORREL('DATASET 25%'!$O2:$O21,'DATASET 25%'!O2:O21)</f>
        <v>1.0000000000000002</v>
      </c>
      <c r="P16" s="28">
        <f>CORREL('DATASET 25%'!$O2:$O21,'DATASET 25%'!P2:P21)</f>
        <v>-0.63310148013633472</v>
      </c>
      <c r="Q16" s="28">
        <f>CORREL('DATASET 25%'!$O2:$O21,'DATASET 25%'!Q2:Q21)</f>
        <v>-7.4819016589049825E-2</v>
      </c>
      <c r="R16" s="28">
        <f>CORREL('DATASET 25%'!$O2:$O21,'DATASET 25%'!R2:R21)</f>
        <v>-0.25048732576695409</v>
      </c>
      <c r="S16" s="38">
        <f>CORREL('DATASET 25%'!$O2:$O21,'DATASET 25%'!S2:S21)</f>
        <v>-0.72435582280029431</v>
      </c>
      <c r="T16" s="28">
        <f>CORREL('DATASET 25%'!$O2:$O21,'DATASET 25%'!T2:T21)</f>
        <v>0.83180039185605825</v>
      </c>
      <c r="U16" s="28">
        <f>CORREL('DATASET 25%'!$O2:$O21,'DATASET 25%'!U2:U21)</f>
        <v>-0.54426522046053816</v>
      </c>
      <c r="V16" s="28">
        <f>CORREL('DATASET 25%'!$O2:$O21,'DATASET 25%'!V2:V21)</f>
        <v>-0.70478315958919047</v>
      </c>
      <c r="W16" s="28">
        <f>CORREL('DATASET 25%'!$O2:$O21,'DATASET 25%'!W2:W21)</f>
        <v>-0.22002137454319812</v>
      </c>
      <c r="X16" s="28">
        <f>CORREL('DATASET 25%'!$O2:$O21,'DATASET 25%'!X2:X21)</f>
        <v>0.85747237873305715</v>
      </c>
      <c r="Y16" s="28">
        <f>CORREL('DATASET 25%'!$O2:$O21,'DATASET 25%'!Y2:Y21)</f>
        <v>0.82648986797100932</v>
      </c>
      <c r="Z16" s="28">
        <f>CORREL('DATASET 25%'!$O2:$O21,'DATASET 25%'!Z2:Z21)</f>
        <v>0.46820527768067771</v>
      </c>
      <c r="AA16" s="28">
        <f>CORREL('DATASET 25%'!$O2:$O21,'DATASET 25%'!AA2:AA21)</f>
        <v>-0.12000000000000001</v>
      </c>
      <c r="AB16" s="28">
        <f>CORREL('DATASET 25%'!$O2:$O21,'DATASET 25%'!AB2:AB21)</f>
        <v>0.83864091485617154</v>
      </c>
      <c r="AC16" s="28">
        <f>CORREL('DATASET 25%'!$O2:$O21,'DATASET 25%'!AC2:AC21)</f>
        <v>0.26901379342448523</v>
      </c>
      <c r="AD16" s="28">
        <f>CORREL('DATASET 25%'!$O2:$O21,'DATASET 25%'!AD2:AD21)</f>
        <v>-0.3272665152879915</v>
      </c>
      <c r="AE16" s="28">
        <f>CORREL('DATASET 25%'!$O2:$O21,'DATASET 25%'!AE2:AE21)</f>
        <v>-0.70028588933191116</v>
      </c>
      <c r="AF16" s="28">
        <f>CORREL('DATASET 25%'!$O2:$O21,'DATASET 25%'!AF2:AF21)</f>
        <v>-0.51106285653342143</v>
      </c>
      <c r="AG16" s="28">
        <f>CORREL('DATASET 25%'!$O2:$O21,'DATASET 25%'!AG2:AG21)</f>
        <v>0.77906496204635123</v>
      </c>
      <c r="AH16" s="28">
        <f>CORREL('DATASET 25%'!$O2:$O21,'DATASET 25%'!AH2:AH21)</f>
        <v>0.77773458869206369</v>
      </c>
      <c r="AI16" s="28">
        <f>CORREL('DATASET 25%'!$O2:$O21,'DATASET 25%'!AI2:AI21)</f>
        <v>0.1577954257203599</v>
      </c>
      <c r="AJ16" s="28">
        <f>CORREL('DATASET 25%'!$O2:$O21,'DATASET 25%'!AJ2:AJ21)</f>
        <v>0.77583886985837125</v>
      </c>
      <c r="AK16" s="28">
        <f>CORREL('DATASET 25%'!$O2:$O21,'DATASET 25%'!AK2:AK21)</f>
        <v>0.18224865716263003</v>
      </c>
      <c r="AL16" s="28">
        <f>CORREL('DATASET 25%'!$O2:$O21,'DATASET 25%'!AL2:AL21)</f>
        <v>-0.13133002154811182</v>
      </c>
      <c r="AM16" s="28">
        <f>CORREL('DATASET 25%'!$O2:$O21,'DATASET 25%'!AM2:AM21)</f>
        <v>0.28800102400546129</v>
      </c>
      <c r="AN16" s="28">
        <f>CORREL('DATASET 25%'!$O2:$O21,'DATASET 25%'!AN2:AN21)</f>
        <v>0.31271995857726703</v>
      </c>
      <c r="AO16" s="28">
        <f>CORREL('DATASET 25%'!$O2:$O21,'DATASET 25%'!AO2:AO21)</f>
        <v>-0.33048579940268008</v>
      </c>
      <c r="AP16" s="28">
        <f>CORREL('DATASET 25%'!$O2:$O21,'DATASET 25%'!AP2:AP21)</f>
        <v>-0.36234569624831975</v>
      </c>
      <c r="AQ16" s="28">
        <f>CORREL('DATASET 25%'!$O2:$O21,'DATASET 25%'!AQ2:AQ21)</f>
        <v>-3.8215010173434164E-2</v>
      </c>
      <c r="AR16" s="28">
        <f>CORREL('DATASET 25%'!$O2:$O21,'DATASET 25%'!AR2:AR21)</f>
        <v>-0.21658327628196961</v>
      </c>
      <c r="AS16" s="28">
        <f>CORREL('DATASET 25%'!$O2:$O21,'DATASET 25%'!AS2:AS21)</f>
        <v>-0.51494298976696662</v>
      </c>
      <c r="AT16" s="28">
        <f>CORREL('DATASET 25%'!$O2:$O21,'DATASET 25%'!AT2:AT21)</f>
        <v>0.58745012591807477</v>
      </c>
      <c r="AU16" s="28">
        <f>CORREL('DATASET 25%'!$O2:$O21,'DATASET 25%'!AU2:AU21)</f>
        <v>0.21048836311393065</v>
      </c>
      <c r="AV16" s="28">
        <f>CORREL('DATASET 25%'!$O2:$O21,'DATASET 25%'!AV2:AV21)</f>
        <v>-0.11572347642739898</v>
      </c>
      <c r="AW16" s="28">
        <f>CORREL('DATASET 25%'!$O2:$O21,'DATASET 25%'!AW2:AW21)</f>
        <v>0.7330727315719654</v>
      </c>
      <c r="AX16" s="28">
        <f>CORREL('DATASET 25%'!$O2:$O21,'DATASET 25%'!AX2:AX21)</f>
        <v>-0.14510543321673863</v>
      </c>
      <c r="AY16" s="28">
        <f>CORREL('DATASET 25%'!$O2:$O21,'DATASET 25%'!AY2:AY21)</f>
        <v>-0.39220568358354541</v>
      </c>
    </row>
    <row r="17" spans="1:51" ht="32" customHeight="1" x14ac:dyDescent="0.15">
      <c r="A17" s="30" t="s">
        <v>15</v>
      </c>
      <c r="B17" s="29">
        <f>CORREL('DATASET 25%'!$P2:$P21,'DATASET 25%'!B2:B21)</f>
        <v>-0.703179938078765</v>
      </c>
      <c r="C17" s="28">
        <f>CORREL('DATASET 25%'!$P2:$P21,'DATASET 25%'!C2:C21)</f>
        <v>-0.5103103630798288</v>
      </c>
      <c r="D17" s="28">
        <f>CORREL('DATASET 25%'!$P2:$P21,'DATASET 25%'!D2:D21)</f>
        <v>-0.36430836970250097</v>
      </c>
      <c r="E17" s="28">
        <f>CORREL('DATASET 25%'!$P2:$P21,'DATASET 25%'!E2:E21)</f>
        <v>-0.7566444492037343</v>
      </c>
      <c r="F17" s="28">
        <f>CORREL('DATASET 25%'!$P2:$P21,'DATASET 25%'!F2:F21)</f>
        <v>-0.6946770272805517</v>
      </c>
      <c r="G17" s="28">
        <f>CORREL('DATASET 25%'!$P2:$P21,'DATASET 25%'!G2:G21)</f>
        <v>-0.46633689309505011</v>
      </c>
      <c r="H17" s="28">
        <f>CORREL('DATASET 25%'!$P2:$P21,'DATASET 25%'!H2:H21)</f>
        <v>0.35921060405354982</v>
      </c>
      <c r="I17" s="42">
        <f>CORREL('DATASET 25%'!$P2:$P21,'DATASET 25%'!I2:I21)</f>
        <v>0.86102806842697843</v>
      </c>
      <c r="J17" s="28">
        <f>CORREL('DATASET 25%'!$P2:$P21,'DATASET 25%'!J2:J21)</f>
        <v>-0.11180339887498947</v>
      </c>
      <c r="K17" s="28">
        <f>CORREL('DATASET 25%'!$P2:$P21,'DATASET 25%'!K2:K21)</f>
        <v>-0.67072118147785686</v>
      </c>
      <c r="L17" s="28">
        <f>CORREL('DATASET 25%'!$P2:$P21,'DATASET 25%'!L2:L21)</f>
        <v>-0.18085106382978725</v>
      </c>
      <c r="M17" s="28">
        <f>CORREL('DATASET 25%'!$P2:$P21,'DATASET 25%'!M2:M21)</f>
        <v>0.55844155844155841</v>
      </c>
      <c r="N17" s="28">
        <f>CORREL('DATASET 25%'!$P2:$P21,'DATASET 25%'!N2:N21)</f>
        <v>0.56434284053370387</v>
      </c>
      <c r="O17" s="28">
        <f>CORREL('DATASET 25%'!$P2:$P21,'DATASET 25%'!O2:O21)</f>
        <v>-0.63310148013633472</v>
      </c>
      <c r="P17" s="28">
        <f>CORREL('DATASET 25%'!$P2:$P21,'DATASET 25%'!P2:P21)</f>
        <v>1</v>
      </c>
      <c r="Q17" s="28">
        <f>CORREL('DATASET 25%'!$P2:$P21,'DATASET 25%'!Q2:Q21)</f>
        <v>-0.22771001702132437</v>
      </c>
      <c r="R17" s="28">
        <f>CORREL('DATASET 25%'!$P2:$P21,'DATASET 25%'!R2:R21)</f>
        <v>0.29496308640500796</v>
      </c>
      <c r="S17" s="38">
        <f>CORREL('DATASET 25%'!$P2:$P21,'DATASET 25%'!S2:S21)</f>
        <v>0.51137189075442246</v>
      </c>
      <c r="T17" s="28">
        <f>CORREL('DATASET 25%'!$P2:$P21,'DATASET 25%'!T2:T21)</f>
        <v>-0.79787516225021615</v>
      </c>
      <c r="U17" s="28">
        <f>CORREL('DATASET 25%'!$P2:$P21,'DATASET 25%'!U2:U21)</f>
        <v>0.55894859749869397</v>
      </c>
      <c r="V17" s="28">
        <f>CORREL('DATASET 25%'!$P2:$P21,'DATASET 25%'!V2:V21)</f>
        <v>5.3300179088902631E-2</v>
      </c>
      <c r="W17" s="28">
        <f>CORREL('DATASET 25%'!$P2:$P21,'DATASET 25%'!W2:W21)</f>
        <v>1.6854996561581015E-2</v>
      </c>
      <c r="X17" s="28">
        <f>CORREL('DATASET 25%'!$P2:$P21,'DATASET 25%'!X2:X21)</f>
        <v>-0.41346127764586282</v>
      </c>
      <c r="Y17" s="28">
        <f>CORREL('DATASET 25%'!$P2:$P21,'DATASET 25%'!Y2:Y21)</f>
        <v>-0.79719530981494746</v>
      </c>
      <c r="Z17" s="28">
        <f>CORREL('DATASET 25%'!$P2:$P21,'DATASET 25%'!Z2:Z21)</f>
        <v>-0.68599434057003539</v>
      </c>
      <c r="AA17" s="28">
        <f>CORREL('DATASET 25%'!$P2:$P21,'DATASET 25%'!AA2:AA21)</f>
        <v>-9.0610047036593713E-2</v>
      </c>
      <c r="AB17" s="28">
        <f>CORREL('DATASET 25%'!$P2:$P21,'DATASET 25%'!AB2:AB21)</f>
        <v>-0.96874999999999989</v>
      </c>
      <c r="AC17" s="28">
        <f>CORREL('DATASET 25%'!$P2:$P21,'DATASET 25%'!AC2:AC21)</f>
        <v>-0.10072787050317257</v>
      </c>
      <c r="AD17" s="28">
        <f>CORREL('DATASET 25%'!$P2:$P21,'DATASET 25%'!AD2:AD21)</f>
        <v>0.61810795992308454</v>
      </c>
      <c r="AE17" s="28">
        <f>CORREL('DATASET 25%'!$P2:$P21,'DATASET 25%'!AE2:AE21)</f>
        <v>0.5503330835653103</v>
      </c>
      <c r="AF17" s="28">
        <f>CORREL('DATASET 25%'!$P2:$P21,'DATASET 25%'!AF2:AF21)</f>
        <v>0.69784486494683895</v>
      </c>
      <c r="AG17" s="28">
        <f>CORREL('DATASET 25%'!$P2:$P21,'DATASET 25%'!AG2:AG21)</f>
        <v>-0.44189932023991335</v>
      </c>
      <c r="AH17" s="28">
        <f>CORREL('DATASET 25%'!$P2:$P21,'DATASET 25%'!AH2:AH21)</f>
        <v>-0.4865092359773211</v>
      </c>
      <c r="AI17" s="28">
        <f>CORREL('DATASET 25%'!$P2:$P21,'DATASET 25%'!AI2:AI21)</f>
        <v>-0.39378076532410838</v>
      </c>
      <c r="AJ17" s="28">
        <f>CORREL('DATASET 25%'!$P2:$P21,'DATASET 25%'!AJ2:AJ21)</f>
        <v>-0.22817020178569283</v>
      </c>
      <c r="AK17" s="28">
        <f>CORREL('DATASET 25%'!$P2:$P21,'DATASET 25%'!AK2:AK21)</f>
        <v>-0.46526399843023974</v>
      </c>
      <c r="AL17" s="28">
        <f>CORREL('DATASET 25%'!$P2:$P21,'DATASET 25%'!AL2:AL21)</f>
        <v>0.11111111111111109</v>
      </c>
      <c r="AM17" s="28">
        <f>CORREL('DATASET 25%'!$P2:$P21,'DATASET 25%'!AM2:AM21)</f>
        <v>-0.20761369963435</v>
      </c>
      <c r="AN17" s="28">
        <f>CORREL('DATASET 25%'!$P2:$P21,'DATASET 25%'!AN2:AN21)</f>
        <v>-0.69894261484284936</v>
      </c>
      <c r="AO17" s="28">
        <f>CORREL('DATASET 25%'!$P2:$P21,'DATASET 25%'!AO2:AO21)</f>
        <v>0.44946657497549475</v>
      </c>
      <c r="AP17" s="28">
        <f>CORREL('DATASET 25%'!$P2:$P21,'DATASET 25%'!AP2:AP21)</f>
        <v>0.56028733836132127</v>
      </c>
      <c r="AQ17" s="28">
        <f>CORREL('DATASET 25%'!$P2:$P21,'DATASET 25%'!AQ2:AQ21)</f>
        <v>0.30691721148650059</v>
      </c>
      <c r="AR17" s="28">
        <f>CORREL('DATASET 25%'!$P2:$P21,'DATASET 25%'!AR2:AR21)</f>
        <v>0.13483997249264848</v>
      </c>
      <c r="AS17" s="28">
        <f>CORREL('DATASET 25%'!$P2:$P21,'DATASET 25%'!AS2:AS21)</f>
        <v>1.0000000000000002</v>
      </c>
      <c r="AT17" s="28">
        <f>CORREL('DATASET 25%'!$P2:$P21,'DATASET 25%'!AT2:AT21)</f>
        <v>-0.36148423122018675</v>
      </c>
      <c r="AU17" s="28">
        <f>CORREL('DATASET 25%'!$P2:$P21,'DATASET 25%'!AU2:AU21)</f>
        <v>-0.54838101002603767</v>
      </c>
      <c r="AV17" s="28">
        <f>CORREL('DATASET 25%'!$P2:$P21,'DATASET 25%'!AV2:AV21)</f>
        <v>-0.55400328776744912</v>
      </c>
      <c r="AW17" s="28">
        <f>CORREL('DATASET 25%'!$P2:$P21,'DATASET 25%'!AW2:AW21)</f>
        <v>-0.70434812114982803</v>
      </c>
      <c r="AX17" s="28">
        <f>CORREL('DATASET 25%'!$P2:$P21,'DATASET 25%'!AX2:AX21)</f>
        <v>0.75824175824175832</v>
      </c>
      <c r="AY17" s="28">
        <f>CORREL('DATASET 25%'!$P2:$P21,'DATASET 25%'!AY2:AY21)</f>
        <v>0.14907119849998601</v>
      </c>
    </row>
    <row r="18" spans="1:51" ht="20" customHeight="1" x14ac:dyDescent="0.15">
      <c r="A18" s="30" t="s">
        <v>16</v>
      </c>
      <c r="B18" s="29">
        <f>CORREL('DATASET 25%'!$Q2:$Q21,'DATASET 25%'!B2:B21)</f>
        <v>4.7036043419179864E-2</v>
      </c>
      <c r="C18" s="28">
        <f>CORREL('DATASET 25%'!$Q2:$Q21,'DATASET 25%'!C2:C21)</f>
        <v>0.42499682338619293</v>
      </c>
      <c r="D18" s="28">
        <f>CORREL('DATASET 25%'!$Q2:$Q21,'DATASET 25%'!D2:D21)</f>
        <v>0.53763956748013086</v>
      </c>
      <c r="E18" s="28">
        <f>CORREL('DATASET 25%'!$Q2:$Q21,'DATASET 25%'!E2:E21)</f>
        <v>0</v>
      </c>
      <c r="F18" s="28">
        <f>CORREL('DATASET 25%'!$Q2:$Q21,'DATASET 25%'!F2:F21)</f>
        <v>-9.4609454076074559E-2</v>
      </c>
      <c r="G18" s="28">
        <f>CORREL('DATASET 25%'!$Q2:$Q21,'DATASET 25%'!G2:G21)</f>
        <v>0.35806724264847922</v>
      </c>
      <c r="H18" s="28">
        <f>CORREL('DATASET 25%'!$Q2:$Q21,'DATASET 25%'!H2:H21)</f>
        <v>0.32504180333157673</v>
      </c>
      <c r="I18" s="42">
        <f>CORREL('DATASET 25%'!$Q2:$Q21,'DATASET 25%'!I2:I21)</f>
        <v>-0.12108986992412062</v>
      </c>
      <c r="J18" s="28">
        <f>CORREL('DATASET 25%'!$Q2:$Q21,'DATASET 25%'!J2:J21)</f>
        <v>0.20526770681398995</v>
      </c>
      <c r="K18" s="28">
        <f>CORREL('DATASET 25%'!$Q2:$Q21,'DATASET 25%'!K2:K21)</f>
        <v>0.37688918072220451</v>
      </c>
      <c r="L18" s="28">
        <f>CORREL('DATASET 25%'!$Q2:$Q21,'DATASET 25%'!L2:L21)</f>
        <v>0.34289213363570598</v>
      </c>
      <c r="M18" s="28">
        <f>CORREL('DATASET 25%'!$Q2:$Q21,'DATASET 25%'!M2:M21)</f>
        <v>-0.17605197258009608</v>
      </c>
      <c r="N18" s="28">
        <f>CORREL('DATASET 25%'!$Q2:$Q21,'DATASET 25%'!N2:N21)</f>
        <v>0.31799936400190798</v>
      </c>
      <c r="O18" s="28">
        <f>CORREL('DATASET 25%'!$Q2:$Q21,'DATASET 25%'!O2:O21)</f>
        <v>-7.4819016589049825E-2</v>
      </c>
      <c r="P18" s="28">
        <f>CORREL('DATASET 25%'!$Q2:$Q21,'DATASET 25%'!P2:P21)</f>
        <v>-0.22771001702132437</v>
      </c>
      <c r="Q18" s="28">
        <f>CORREL('DATASET 25%'!$Q2:$Q21,'DATASET 25%'!Q2:Q21)</f>
        <v>1.0000000000000002</v>
      </c>
      <c r="R18" s="28">
        <f>CORREL('DATASET 25%'!$Q2:$Q21,'DATASET 25%'!R2:R21)</f>
        <v>-1.3103560459023908E-2</v>
      </c>
      <c r="S18" s="38">
        <f>CORREL('DATASET 25%'!$Q2:$Q21,'DATASET 25%'!S2:S21)</f>
        <v>0.42391137599839768</v>
      </c>
      <c r="T18" s="28">
        <f>CORREL('DATASET 25%'!$Q2:$Q21,'DATASET 25%'!T2:T21)</f>
        <v>0.30624747346876591</v>
      </c>
      <c r="U18" s="28">
        <f>CORREL('DATASET 25%'!$Q2:$Q21,'DATASET 25%'!U2:U21)</f>
        <v>-0.53510703211070376</v>
      </c>
      <c r="V18" s="28">
        <f>CORREL('DATASET 25%'!$Q2:$Q21,'DATASET 25%'!V2:V21)</f>
        <v>0.6153846153846152</v>
      </c>
      <c r="W18" s="28">
        <f>CORREL('DATASET 25%'!$Q2:$Q21,'DATASET 25%'!W2:W21)</f>
        <v>9.198440996365477E-2</v>
      </c>
      <c r="X18" s="28">
        <f>CORREL('DATASET 25%'!$Q2:$Q21,'DATASET 25%'!X2:X21)</f>
        <v>-5.8703622445472239E-2</v>
      </c>
      <c r="Y18" s="28">
        <f>CORREL('DATASET 25%'!$Q2:$Q21,'DATASET 25%'!Y2:Y21)</f>
        <v>0.24053511772118194</v>
      </c>
      <c r="Z18" s="28">
        <f>CORREL('DATASET 25%'!$Q2:$Q21,'DATASET 25%'!Z2:Z21)</f>
        <v>5.6254395046301177E-2</v>
      </c>
      <c r="AA18" s="28">
        <f>CORREL('DATASET 25%'!$Q2:$Q21,'DATASET 25%'!AA2:AA21)</f>
        <v>-3.1068488300060051E-2</v>
      </c>
      <c r="AB18" s="28">
        <f>CORREL('DATASET 25%'!$Q2:$Q21,'DATASET 25%'!AB2:AB21)</f>
        <v>-7.5691258852437299E-2</v>
      </c>
      <c r="AC18" s="28">
        <f>CORREL('DATASET 25%'!$Q2:$Q21,'DATASET 25%'!AC2:AC21)</f>
        <v>0.50000000000000011</v>
      </c>
      <c r="AD18" s="28">
        <f>CORREL('DATASET 25%'!$Q2:$Q21,'DATASET 25%'!AD2:AD21)</f>
        <v>-0.61913425168621539</v>
      </c>
      <c r="AE18" s="28">
        <f>CORREL('DATASET 25%'!$Q2:$Q21,'DATASET 25%'!AE2:AE21)</f>
        <v>0.16657109542957085</v>
      </c>
      <c r="AF18" s="28">
        <f>CORREL('DATASET 25%'!$Q2:$Q21,'DATASET 25%'!AF2:AF21)</f>
        <v>-2.5877458475338268E-2</v>
      </c>
      <c r="AG18" s="28">
        <f>CORREL('DATASET 25%'!$Q2:$Q21,'DATASET 25%'!AG2:AG21)</f>
        <v>0.49507377148833714</v>
      </c>
      <c r="AH18" s="28">
        <f>CORREL('DATASET 25%'!$Q2:$Q21,'DATASET 25%'!AH2:AH21)</f>
        <v>-9.1287092917527721E-2</v>
      </c>
      <c r="AI18" s="28">
        <f>CORREL('DATASET 25%'!$Q2:$Q21,'DATASET 25%'!AI2:AI21)</f>
        <v>-1.1716158058130794E-2</v>
      </c>
      <c r="AJ18" s="28">
        <f>CORREL('DATASET 25%'!$Q2:$Q21,'DATASET 25%'!AJ2:AJ21)</f>
        <v>0.17206180040292135</v>
      </c>
      <c r="AK18" s="28">
        <f>CORREL('DATASET 25%'!$Q2:$Q21,'DATASET 25%'!AK2:AK21)</f>
        <v>0.46378264264916319</v>
      </c>
      <c r="AL18" s="28">
        <f>CORREL('DATASET 25%'!$Q2:$Q21,'DATASET 25%'!AL2:AL21)</f>
        <v>0.13184425208671466</v>
      </c>
      <c r="AM18" s="28">
        <f>CORREL('DATASET 25%'!$Q2:$Q21,'DATASET 25%'!AM2:AM21)</f>
        <v>0.15118578920369091</v>
      </c>
      <c r="AN18" s="28">
        <f>CORREL('DATASET 25%'!$Q2:$Q21,'DATASET 25%'!AN2:AN21)</f>
        <v>-7.719535846557378E-2</v>
      </c>
      <c r="AO18" s="28">
        <f>CORREL('DATASET 25%'!$Q2:$Q21,'DATASET 25%'!AO2:AO21)</f>
        <v>-0.31622776601683794</v>
      </c>
      <c r="AP18" s="28">
        <f>CORREL('DATASET 25%'!$Q2:$Q21,'DATASET 25%'!AP2:AP21)</f>
        <v>-3.2046767468253586E-2</v>
      </c>
      <c r="AQ18" s="28">
        <f>CORREL('DATASET 25%'!$Q2:$Q21,'DATASET 25%'!AQ2:AQ21)</f>
        <v>0.2409657986707496</v>
      </c>
      <c r="AR18" s="28">
        <f>CORREL('DATASET 25%'!$Q2:$Q21,'DATASET 25%'!AR2:AR21)</f>
        <v>0.4539489379439039</v>
      </c>
      <c r="AS18" s="28">
        <f>CORREL('DATASET 25%'!$Q2:$Q21,'DATASET 25%'!AS2:AS21)</f>
        <v>-0.19245008972987526</v>
      </c>
      <c r="AT18" s="28">
        <f>CORREL('DATASET 25%'!$Q2:$Q21,'DATASET 25%'!AT2:AT21)</f>
        <v>0.15460413650478522</v>
      </c>
      <c r="AU18" s="28">
        <f>CORREL('DATASET 25%'!$Q2:$Q21,'DATASET 25%'!AU2:AU21)</f>
        <v>0</v>
      </c>
      <c r="AV18" s="28">
        <f>CORREL('DATASET 25%'!$Q2:$Q21,'DATASET 25%'!AV2:AV21)</f>
        <v>0.26533431525261619</v>
      </c>
      <c r="AW18" s="28">
        <f>CORREL('DATASET 25%'!$Q2:$Q21,'DATASET 25%'!AW2:AW21)</f>
        <v>0.1188643277625491</v>
      </c>
      <c r="AX18" s="28">
        <f>CORREL('DATASET 25%'!$Q2:$Q21,'DATASET 25%'!AX2:AX21)</f>
        <v>-0.232379000772445</v>
      </c>
      <c r="AY18" s="28">
        <f>CORREL('DATASET 25%'!$Q2:$Q21,'DATASET 25%'!AY2:AY21)</f>
        <v>-9.9999999999999992E-2</v>
      </c>
    </row>
    <row r="19" spans="1:51" ht="20" customHeight="1" x14ac:dyDescent="0.15">
      <c r="A19" s="30" t="s">
        <v>17</v>
      </c>
      <c r="B19" s="29">
        <f>CORREL('DATASET 25%'!$R2:$R21,'DATASET 25%'!B2:B21)</f>
        <v>-0.25057829424729872</v>
      </c>
      <c r="C19" s="28">
        <f>CORREL('DATASET 25%'!$R2:$R21,'DATASET 25%'!C2:C21)</f>
        <v>-3.6860489038724298E-2</v>
      </c>
      <c r="D19" s="28">
        <f>CORREL('DATASET 25%'!$R2:$R21,'DATASET 25%'!D2:D21)</f>
        <v>0.68401332664804559</v>
      </c>
      <c r="E19" s="28">
        <f>CORREL('DATASET 25%'!$R2:$R21,'DATASET 25%'!E2:E21)</f>
        <v>-0.66575404930977811</v>
      </c>
      <c r="F19" s="28">
        <f>CORREL('DATASET 25%'!$R2:$R21,'DATASET 25%'!F2:F21)</f>
        <v>-6.0559517281366569E-2</v>
      </c>
      <c r="G19" s="28">
        <f>CORREL('DATASET 25%'!$R2:$R21,'DATASET 25%'!G2:G21)</f>
        <v>0.50897879626454623</v>
      </c>
      <c r="H19" s="28">
        <f>CORREL('DATASET 25%'!$R2:$R21,'DATASET 25%'!H2:H21)</f>
        <v>0.12888481555661679</v>
      </c>
      <c r="I19" s="42">
        <f>CORREL('DATASET 25%'!$R2:$R21,'DATASET 25%'!I2:I21)</f>
        <v>0.29814239699997191</v>
      </c>
      <c r="J19" s="28">
        <f>CORREL('DATASET 25%'!$R2:$R21,'DATASET 25%'!J2:J21)</f>
        <v>0.80056592302036533</v>
      </c>
      <c r="K19" s="28">
        <f>CORREL('DATASET 25%'!$R2:$R21,'DATASET 25%'!K2:K21)</f>
        <v>0.18898223650461363</v>
      </c>
      <c r="L19" s="28">
        <f>CORREL('DATASET 25%'!$R2:$R21,'DATASET 25%'!L2:L21)</f>
        <v>0.22956556456066268</v>
      </c>
      <c r="M19" s="28">
        <f>CORREL('DATASET 25%'!$R2:$R21,'DATASET 25%'!M2:M21)</f>
        <v>0.4661283298893017</v>
      </c>
      <c r="N19" s="28">
        <f>CORREL('DATASET 25%'!$R2:$R21,'DATASET 25%'!N2:N21)</f>
        <v>0.62988977893218623</v>
      </c>
      <c r="O19" s="28">
        <f>CORREL('DATASET 25%'!$R2:$R21,'DATASET 25%'!O2:O21)</f>
        <v>-0.25048732576695409</v>
      </c>
      <c r="P19" s="28">
        <f>CORREL('DATASET 25%'!$R2:$R21,'DATASET 25%'!P2:P21)</f>
        <v>0.29496308640500796</v>
      </c>
      <c r="Q19" s="28">
        <f>CORREL('DATASET 25%'!$R2:$R21,'DATASET 25%'!Q2:Q21)</f>
        <v>-1.3103560459023908E-2</v>
      </c>
      <c r="R19" s="28">
        <f>CORREL('DATASET 25%'!$R2:$R21,'DATASET 25%'!R2:R21)</f>
        <v>1.0000000000000002</v>
      </c>
      <c r="S19" s="38">
        <f>CORREL('DATASET 25%'!$R2:$R21,'DATASET 25%'!S2:S21)</f>
        <v>0.73687612618361209</v>
      </c>
      <c r="T19" s="28">
        <f>CORREL('DATASET 25%'!$R2:$R21,'DATASET 25%'!T2:T21)</f>
        <v>-0.28076058609010462</v>
      </c>
      <c r="U19" s="28">
        <f>CORREL('DATASET 25%'!$R2:$R21,'DATASET 25%'!U2:U21)</f>
        <v>0.51096354453362369</v>
      </c>
      <c r="V19" s="28">
        <f>CORREL('DATASET 25%'!$R2:$R21,'DATASET 25%'!V2:V21)</f>
        <v>0.69663054601923613</v>
      </c>
      <c r="W19" s="28">
        <f>CORREL('DATASET 25%'!$R2:$R21,'DATASET 25%'!W2:W21)</f>
        <v>0.62136851776819446</v>
      </c>
      <c r="X19" s="28">
        <f>CORREL('DATASET 25%'!$R2:$R21,'DATASET 25%'!X2:X21)</f>
        <v>-0.49593489190018542</v>
      </c>
      <c r="Y19" s="28">
        <f>CORREL('DATASET 25%'!$R2:$R21,'DATASET 25%'!Y2:Y21)</f>
        <v>-0.59239822545624821</v>
      </c>
      <c r="Z19" s="28">
        <f>CORREL('DATASET 25%'!$R2:$R21,'DATASET 25%'!Z2:Z21)</f>
        <v>-0.19302200804786193</v>
      </c>
      <c r="AA19" s="28">
        <f>CORREL('DATASET 25%'!$R2:$R21,'DATASET 25%'!AA2:AA21)</f>
        <v>0.22295201801997952</v>
      </c>
      <c r="AB19" s="28">
        <f>CORREL('DATASET 25%'!$R2:$R21,'DATASET 25%'!AB2:AB21)</f>
        <v>-0.35714285714285721</v>
      </c>
      <c r="AC19" s="28">
        <f>CORREL('DATASET 25%'!$R2:$R21,'DATASET 25%'!AC2:AC21)</f>
        <v>0.11271279531923217</v>
      </c>
      <c r="AD19" s="28">
        <f>CORREL('DATASET 25%'!$R2:$R21,'DATASET 25%'!AD2:AD21)</f>
        <v>0.48473534472986368</v>
      </c>
      <c r="AE19" s="28">
        <f>CORREL('DATASET 25%'!$R2:$R21,'DATASET 25%'!AE2:AE21)</f>
        <v>0.80746899187492405</v>
      </c>
      <c r="AF19" s="28">
        <f>CORREL('DATASET 25%'!$R2:$R21,'DATASET 25%'!AF2:AF21)</f>
        <v>7.443229275647878E-2</v>
      </c>
      <c r="AG19" s="28">
        <f>CORREL('DATASET 25%'!$R2:$R21,'DATASET 25%'!AG2:AG21)</f>
        <v>-0.2152865871501092</v>
      </c>
      <c r="AH19" s="28">
        <f>CORREL('DATASET 25%'!$R2:$R21,'DATASET 25%'!AH2:AH21)</f>
        <v>-0.17849318420055524</v>
      </c>
      <c r="AI19" s="28">
        <f>CORREL('DATASET 25%'!$R2:$R21,'DATASET 25%'!AI2:AI21)</f>
        <v>0.23211571081372812</v>
      </c>
      <c r="AJ19" s="28">
        <f>CORREL('DATASET 25%'!$R2:$R21,'DATASET 25%'!AJ2:AJ21)</f>
        <v>0.39546783688344084</v>
      </c>
      <c r="AK19" s="28">
        <f>CORREL('DATASET 25%'!$R2:$R21,'DATASET 25%'!AK2:AK21)</f>
        <v>0.52969088661907404</v>
      </c>
      <c r="AL19" s="28">
        <f>CORREL('DATASET 25%'!$R2:$R21,'DATASET 25%'!AL2:AL21)</f>
        <v>0.60421797811664379</v>
      </c>
      <c r="AM19" s="28">
        <f>CORREL('DATASET 25%'!$R2:$R21,'DATASET 25%'!AM2:AM21)</f>
        <v>-0.30263639081698168</v>
      </c>
      <c r="AN19" s="28">
        <f>CORREL('DATASET 25%'!$R2:$R21,'DATASET 25%'!AN2:AN21)</f>
        <v>0.11012350542411381</v>
      </c>
      <c r="AO19" s="28">
        <f>CORREL('DATASET 25%'!$R2:$R21,'DATASET 25%'!AO2:AO21)</f>
        <v>0.60276378111510298</v>
      </c>
      <c r="AP19" s="28">
        <f>CORREL('DATASET 25%'!$R2:$R21,'DATASET 25%'!AP2:AP21)</f>
        <v>0.70337532093844668</v>
      </c>
      <c r="AQ19" s="28">
        <f>CORREL('DATASET 25%'!$R2:$R21,'DATASET 25%'!AQ2:AQ21)</f>
        <v>-0.66814182784024578</v>
      </c>
      <c r="AR19" s="28">
        <f>CORREL('DATASET 25%'!$R2:$R21,'DATASET 25%'!AR2:AR21)</f>
        <v>8.0321932890249928E-2</v>
      </c>
      <c r="AS19" s="28">
        <f>CORREL('DATASET 25%'!$R2:$R21,'DATASET 25%'!AS2:AS21)</f>
        <v>0.84265008846948619</v>
      </c>
      <c r="AT19" s="28">
        <f>CORREL('DATASET 25%'!$R2:$R21,'DATASET 25%'!AT2:AT21)</f>
        <v>-0.23398419466270653</v>
      </c>
      <c r="AU19" s="28">
        <f>CORREL('DATASET 25%'!$R2:$R21,'DATASET 25%'!AU2:AU21)</f>
        <v>1.7786387594901119E-2</v>
      </c>
      <c r="AV19" s="28">
        <f>CORREL('DATASET 25%'!$R2:$R21,'DATASET 25%'!AV2:AV21)</f>
        <v>0.39999999999999991</v>
      </c>
      <c r="AW19" s="28">
        <f>CORREL('DATASET 25%'!$R2:$R21,'DATASET 25%'!AW2:AW21)</f>
        <v>-0.17593288763724918</v>
      </c>
      <c r="AX19" s="28">
        <f>CORREL('DATASET 25%'!$R2:$R21,'DATASET 25%'!AX2:AX21)</f>
        <v>0.57564061110039699</v>
      </c>
      <c r="AY19" s="28">
        <f>CORREL('DATASET 25%'!$R2:$R21,'DATASET 25%'!AY2:AY21)</f>
        <v>0.57896373373046806</v>
      </c>
    </row>
    <row r="20" spans="1:51" ht="20" customHeight="1" x14ac:dyDescent="0.15">
      <c r="A20" s="30" t="s">
        <v>18</v>
      </c>
      <c r="B20" s="29">
        <f>CORREL('DATASET 25%'!$S2:$S21,'DATASET 25%'!B2:B21)</f>
        <v>-0.61819859253848075</v>
      </c>
      <c r="C20" s="28">
        <f>CORREL('DATASET 25%'!$S2:$S21,'DATASET 25%'!C2:C21)</f>
        <v>-5.414351022802627E-2</v>
      </c>
      <c r="D20" s="28">
        <f>CORREL('DATASET 25%'!$S2:$S21,'DATASET 25%'!D2:D21)</f>
        <v>0.61786757427665995</v>
      </c>
      <c r="E20" s="28">
        <f>CORREL('DATASET 25%'!$S2:$S21,'DATASET 25%'!E2:E21)</f>
        <v>-0.65423313127310434</v>
      </c>
      <c r="F20" s="28">
        <f>CORREL('DATASET 25%'!$S2:$S21,'DATASET 25%'!F2:F21)</f>
        <v>-0.49718307617612556</v>
      </c>
      <c r="G20" s="28">
        <f>CORREL('DATASET 25%'!$S2:$S21,'DATASET 25%'!G2:G21)</f>
        <v>-0.36097088074523226</v>
      </c>
      <c r="H20" s="28">
        <f>CORREL('DATASET 25%'!$S2:$S21,'DATASET 25%'!H2:H21)</f>
        <v>0.47556990353384204</v>
      </c>
      <c r="I20" s="42">
        <f>CORREL('DATASET 25%'!$S2:$S21,'DATASET 25%'!I2:I21)</f>
        <v>0.76655517583983335</v>
      </c>
      <c r="J20" s="28">
        <f>CORREL('DATASET 25%'!$S2:$S21,'DATASET 25%'!J2:J21)</f>
        <v>0.57341463865695552</v>
      </c>
      <c r="K20" s="28">
        <f>CORREL('DATASET 25%'!$S2:$S21,'DATASET 25%'!K2:K21)</f>
        <v>-0.50572173742417359</v>
      </c>
      <c r="L20" s="28">
        <f>CORREL('DATASET 25%'!$S2:$S21,'DATASET 25%'!L2:L21)</f>
        <v>0.46481589468656326</v>
      </c>
      <c r="M20" s="28">
        <f>CORREL('DATASET 25%'!$S2:$S21,'DATASET 25%'!M2:M21)</f>
        <v>0.66005870868578009</v>
      </c>
      <c r="N20" s="28">
        <f>CORREL('DATASET 25%'!$S2:$S21,'DATASET 25%'!N2:N21)</f>
        <v>0.30150393270336434</v>
      </c>
      <c r="O20" s="28">
        <f>CORREL('DATASET 25%'!$S2:$S21,'DATASET 25%'!O2:O21)</f>
        <v>-0.72435582280029431</v>
      </c>
      <c r="P20" s="28">
        <f>CORREL('DATASET 25%'!$S2:$S21,'DATASET 25%'!P2:P21)</f>
        <v>0.51137189075442246</v>
      </c>
      <c r="Q20" s="28">
        <f>CORREL('DATASET 25%'!$S2:$S21,'DATASET 25%'!Q2:Q21)</f>
        <v>0.42391137599839768</v>
      </c>
      <c r="R20" s="28">
        <f>CORREL('DATASET 25%'!$S2:$S21,'DATASET 25%'!R2:R21)</f>
        <v>0.73687612618361209</v>
      </c>
      <c r="S20" s="38">
        <f>CORREL('DATASET 25%'!$S2:$S21,'DATASET 25%'!S2:S21)</f>
        <v>0.99999999999999989</v>
      </c>
      <c r="T20" s="28">
        <f>CORREL('DATASET 25%'!$S2:$S21,'DATASET 25%'!T2:T21)</f>
        <v>-0.32777777777777789</v>
      </c>
      <c r="U20" s="28">
        <f>CORREL('DATASET 25%'!$S2:$S21,'DATASET 25%'!U2:U21)</f>
        <v>0.25777838978338286</v>
      </c>
      <c r="V20" s="28">
        <f>CORREL('DATASET 25%'!$S2:$S21,'DATASET 25%'!V2:V21)</f>
        <v>0.84242353917423196</v>
      </c>
      <c r="W20" s="28">
        <f>CORREL('DATASET 25%'!$S2:$S21,'DATASET 25%'!W2:W21)</f>
        <v>0.56503901081996755</v>
      </c>
      <c r="X20" s="28">
        <f>CORREL('DATASET 25%'!$S2:$S21,'DATASET 25%'!X2:X21)</f>
        <v>-0.82583648484734218</v>
      </c>
      <c r="Y20" s="28">
        <f>CORREL('DATASET 25%'!$S2:$S21,'DATASET 25%'!Y2:Y21)</f>
        <v>-0.86956806133359699</v>
      </c>
      <c r="Z20" s="28">
        <f>CORREL('DATASET 25%'!$S2:$S21,'DATASET 25%'!Z2:Z21)</f>
        <v>-0.55803022879265285</v>
      </c>
      <c r="AA20" s="28">
        <f>CORREL('DATASET 25%'!$S2:$S21,'DATASET 25%'!AA2:AA21)</f>
        <v>0.55112141426307948</v>
      </c>
      <c r="AB20" s="28">
        <f>CORREL('DATASET 25%'!$S2:$S21,'DATASET 25%'!AB2:AB21)</f>
        <v>-0.50425824635013006</v>
      </c>
      <c r="AC20" s="28">
        <f>CORREL('DATASET 25%'!$S2:$S21,'DATASET 25%'!AC2:AC21)</f>
        <v>-0.38745651242379164</v>
      </c>
      <c r="AD20" s="28">
        <f>CORREL('DATASET 25%'!$S2:$S21,'DATASET 25%'!AD2:AD21)</f>
        <v>0.50062926754149639</v>
      </c>
      <c r="AE20" s="28">
        <f>CORREL('DATASET 25%'!$S2:$S21,'DATASET 25%'!AE2:AE21)</f>
        <v>0.73521462209380783</v>
      </c>
      <c r="AF20" s="28">
        <f>CORREL('DATASET 25%'!$S2:$S21,'DATASET 25%'!AF2:AF21)</f>
        <v>0.56687785098325183</v>
      </c>
      <c r="AG20" s="28">
        <f>CORREL('DATASET 25%'!$S2:$S21,'DATASET 25%'!AG2:AG21)</f>
        <v>-0.35795716689756796</v>
      </c>
      <c r="AH20" s="28">
        <f>CORREL('DATASET 25%'!$S2:$S21,'DATASET 25%'!AH2:AH21)</f>
        <v>-0.58129541547844554</v>
      </c>
      <c r="AI20" s="28">
        <f>CORREL('DATASET 25%'!$S2:$S21,'DATASET 25%'!AI2:AI21)</f>
        <v>-0.18641668793370503</v>
      </c>
      <c r="AJ20" s="28">
        <f>CORREL('DATASET 25%'!$S2:$S21,'DATASET 25%'!AJ2:AJ21)</f>
        <v>-0.40293463717963063</v>
      </c>
      <c r="AK20" s="28">
        <f>CORREL('DATASET 25%'!$S2:$S21,'DATASET 25%'!AK2:AK21)</f>
        <v>0.21110907235849183</v>
      </c>
      <c r="AL20" s="28">
        <f>CORREL('DATASET 25%'!$S2:$S21,'DATASET 25%'!AL2:AL21)</f>
        <v>0.15777241230845432</v>
      </c>
      <c r="AM20" s="28">
        <f>CORREL('DATASET 25%'!$S2:$S21,'DATASET 25%'!AM2:AM21)</f>
        <v>-0.42341515917871025</v>
      </c>
      <c r="AN20" s="28">
        <f>CORREL('DATASET 25%'!$S2:$S21,'DATASET 25%'!AN2:AN21)</f>
        <v>-0.33643504590579115</v>
      </c>
      <c r="AO20" s="28">
        <f>CORREL('DATASET 25%'!$S2:$S21,'DATASET 25%'!AO2:AO21)</f>
        <v>0.15439451886219518</v>
      </c>
      <c r="AP20" s="28">
        <f>CORREL('DATASET 25%'!$S2:$S21,'DATASET 25%'!AP2:AP21)</f>
        <v>0.80311570775404428</v>
      </c>
      <c r="AQ20" s="28">
        <f>CORREL('DATASET 25%'!$S2:$S21,'DATASET 25%'!AQ2:AQ21)</f>
        <v>0.14021141124290157</v>
      </c>
      <c r="AR20" s="28">
        <f>CORREL('DATASET 25%'!$S2:$S21,'DATASET 25%'!AR2:AR21)</f>
        <v>0.39687044811132666</v>
      </c>
      <c r="AS20" s="28">
        <f>CORREL('DATASET 25%'!$S2:$S21,'DATASET 25%'!AS2:AS21)</f>
        <v>0.36363636363636359</v>
      </c>
      <c r="AT20" s="28">
        <f>CORREL('DATASET 25%'!$S2:$S21,'DATASET 25%'!AT2:AT21)</f>
        <v>-0.29215790613730991</v>
      </c>
      <c r="AU20" s="28">
        <f>CORREL('DATASET 25%'!$S2:$S21,'DATASET 25%'!AU2:AU21)</f>
        <v>4.9424165057217161E-2</v>
      </c>
      <c r="AV20" s="28">
        <f>CORREL('DATASET 25%'!$S2:$S21,'DATASET 25%'!AV2:AV21)</f>
        <v>5.573323041272954E-2</v>
      </c>
      <c r="AW20" s="28">
        <f>CORREL('DATASET 25%'!$S2:$S21,'DATASET 25%'!AW2:AW21)</f>
        <v>-0.44523913289664357</v>
      </c>
      <c r="AX20" s="28">
        <f>CORREL('DATASET 25%'!$S2:$S21,'DATASET 25%'!AX2:AX21)</f>
        <v>0.33717177946473381</v>
      </c>
      <c r="AY20" s="28">
        <f>CORREL('DATASET 25%'!$S2:$S21,'DATASET 25%'!AY2:AY21)</f>
        <v>0.67856421741067696</v>
      </c>
    </row>
    <row r="21" spans="1:51" ht="20" customHeight="1" x14ac:dyDescent="0.15">
      <c r="A21" s="30" t="s">
        <v>19</v>
      </c>
      <c r="B21" s="29">
        <f>CORREL('DATASET 25%'!$T2:$T21,'DATASET 25%'!B2:B21)</f>
        <v>0.92069431331786289</v>
      </c>
      <c r="C21" s="28">
        <f>CORREL('DATASET 25%'!$T2:$T21,'DATASET 25%'!C2:C21)</f>
        <v>0.42729611186285654</v>
      </c>
      <c r="D21" s="28">
        <f>CORREL('DATASET 25%'!$T2:$T21,'DATASET 25%'!D2:D21)</f>
        <v>0</v>
      </c>
      <c r="E21" s="28">
        <f>CORREL('DATASET 25%'!$T2:$T21,'DATASET 25%'!E2:E21)</f>
        <v>0.72083358858935698</v>
      </c>
      <c r="F21" s="28">
        <f>CORREL('DATASET 25%'!$T2:$T21,'DATASET 25%'!F2:F21)</f>
        <v>0.80554541399087398</v>
      </c>
      <c r="G21" s="28">
        <f>CORREL('DATASET 25%'!$T2:$T21,'DATASET 25%'!G2:G21)</f>
        <v>0.28918811190181343</v>
      </c>
      <c r="H21" s="28">
        <f>CORREL('DATASET 25%'!$T2:$T21,'DATASET 25%'!H2:H21)</f>
        <v>-0.40560406675731747</v>
      </c>
      <c r="I21" s="42">
        <f>CORREL('DATASET 25%'!$T2:$T21,'DATASET 25%'!I2:I21)</f>
        <v>-0.64821638503135259</v>
      </c>
      <c r="J21" s="28">
        <f>CORREL('DATASET 25%'!$T2:$T21,'DATASET 25%'!J2:J21)</f>
        <v>-0.11693370124992461</v>
      </c>
      <c r="K21" s="28">
        <f>CORREL('DATASET 25%'!$T2:$T21,'DATASET 25%'!K2:K21)</f>
        <v>0.68235508762554542</v>
      </c>
      <c r="L21" s="28">
        <f>CORREL('DATASET 25%'!$T2:$T21,'DATASET 25%'!L2:L21)</f>
        <v>-0.33976858368579183</v>
      </c>
      <c r="M21" s="28">
        <f>CORREL('DATASET 25%'!$T2:$T21,'DATASET 25%'!M2:M21)</f>
        <v>-0.72527746225859946</v>
      </c>
      <c r="N21" s="28">
        <f>CORREL('DATASET 25%'!$T2:$T21,'DATASET 25%'!N2:N21)</f>
        <v>-0.14098116300675673</v>
      </c>
      <c r="O21" s="28">
        <f>CORREL('DATASET 25%'!$T2:$T21,'DATASET 25%'!O2:O21)</f>
        <v>0.83180039185605825</v>
      </c>
      <c r="P21" s="28">
        <f>CORREL('DATASET 25%'!$T2:$T21,'DATASET 25%'!P2:P21)</f>
        <v>-0.79787516225021615</v>
      </c>
      <c r="Q21" s="28">
        <f>CORREL('DATASET 25%'!$T2:$T21,'DATASET 25%'!Q2:Q21)</f>
        <v>0.30624747346876591</v>
      </c>
      <c r="R21" s="28">
        <f>CORREL('DATASET 25%'!$T2:$T21,'DATASET 25%'!R2:R21)</f>
        <v>-0.28076058609010462</v>
      </c>
      <c r="S21" s="38">
        <f>CORREL('DATASET 25%'!$T2:$T21,'DATASET 25%'!S2:S21)</f>
        <v>-0.32777777777777789</v>
      </c>
      <c r="T21" s="28">
        <f>CORREL('DATASET 25%'!$T2:$T21,'DATASET 25%'!T2:T21)</f>
        <v>1</v>
      </c>
      <c r="U21" s="28">
        <f>CORREL('DATASET 25%'!$T2:$T21,'DATASET 25%'!U2:U21)</f>
        <v>-0.36647045615996837</v>
      </c>
      <c r="V21" s="28">
        <f>CORREL('DATASET 25%'!$T2:$T21,'DATASET 25%'!V2:V21)</f>
        <v>-0.26189246330824856</v>
      </c>
      <c r="W21" s="28">
        <f>CORREL('DATASET 25%'!$T2:$T21,'DATASET 25%'!W2:W21)</f>
        <v>-0.72501848820717718</v>
      </c>
      <c r="X21" s="28">
        <f>CORREL('DATASET 25%'!$T2:$T21,'DATASET 25%'!X2:X21)</f>
        <v>0.67227745291367902</v>
      </c>
      <c r="Y21" s="28">
        <f>CORREL('DATASET 25%'!$T2:$T21,'DATASET 25%'!Y2:Y21)</f>
        <v>0.80163043478260898</v>
      </c>
      <c r="Z21" s="28">
        <f>CORREL('DATASET 25%'!$T2:$T21,'DATASET 25%'!Z2:Z21)</f>
        <v>0.33560978616754999</v>
      </c>
      <c r="AA21" s="28">
        <f>CORREL('DATASET 25%'!$T2:$T21,'DATASET 25%'!AA2:AA21)</f>
        <v>7.4219098460377345E-2</v>
      </c>
      <c r="AB21" s="28">
        <f>CORREL('DATASET 25%'!$T2:$T21,'DATASET 25%'!AB2:AB21)</f>
        <v>0.71417580075588505</v>
      </c>
      <c r="AC21" s="28">
        <f>CORREL('DATASET 25%'!$T2:$T21,'DATASET 25%'!AC2:AC21)</f>
        <v>0.32030331520146466</v>
      </c>
      <c r="AD21" s="28">
        <f>CORREL('DATASET 25%'!$T2:$T21,'DATASET 25%'!AD2:AD21)</f>
        <v>-0.37980707599885982</v>
      </c>
      <c r="AE21" s="28">
        <f>CORREL('DATASET 25%'!$T2:$T21,'DATASET 25%'!AE2:AE21)</f>
        <v>-0.46139318163154719</v>
      </c>
      <c r="AF21" s="28">
        <f>CORREL('DATASET 25%'!$T2:$T21,'DATASET 25%'!AF2:AF21)</f>
        <v>-0.47985743496869659</v>
      </c>
      <c r="AG21" s="28">
        <f>CORREL('DATASET 25%'!$T2:$T21,'DATASET 25%'!AG2:AG21)</f>
        <v>0.79799276489839721</v>
      </c>
      <c r="AH21" s="28">
        <f>CORREL('DATASET 25%'!$T2:$T21,'DATASET 25%'!AH2:AH21)</f>
        <v>0.42705504580293741</v>
      </c>
      <c r="AI21" s="28">
        <f>CORREL('DATASET 25%'!$T2:$T21,'DATASET 25%'!AI2:AI21)</f>
        <v>-0.4249150254915029</v>
      </c>
      <c r="AJ21" s="28">
        <f>CORREL('DATASET 25%'!$T2:$T21,'DATASET 25%'!AJ2:AJ21)</f>
        <v>0.46704646607745748</v>
      </c>
      <c r="AK21" s="28">
        <f>CORREL('DATASET 25%'!$T2:$T21,'DATASET 25%'!AK2:AK21)</f>
        <v>0.27558424295718142</v>
      </c>
      <c r="AL21" s="28">
        <f>CORREL('DATASET 25%'!$T2:$T21,'DATASET 25%'!AL2:AL21)</f>
        <v>0.43971867004796422</v>
      </c>
      <c r="AM21" s="28">
        <f>CORREL('DATASET 25%'!$T2:$T21,'DATASET 25%'!AM2:AM21)</f>
        <v>0.5745811871875518</v>
      </c>
      <c r="AN21" s="28">
        <f>CORREL('DATASET 25%'!$T2:$T21,'DATASET 25%'!AN2:AN21)</f>
        <v>7.2488037629274998E-2</v>
      </c>
      <c r="AO21" s="28">
        <f>CORREL('DATASET 25%'!$T2:$T21,'DATASET 25%'!AO2:AO21)</f>
        <v>-0.48215016335080957</v>
      </c>
      <c r="AP21" s="28">
        <f>CORREL('DATASET 25%'!$T2:$T21,'DATASET 25%'!AP2:AP21)</f>
        <v>-0.3543225930943068</v>
      </c>
      <c r="AQ21" s="28">
        <f>CORREL('DATASET 25%'!$T2:$T21,'DATASET 25%'!AQ2:AQ21)</f>
        <v>7.7377595449941841E-2</v>
      </c>
      <c r="AR21" s="28">
        <f>CORREL('DATASET 25%'!$T2:$T21,'DATASET 25%'!AR2:AR21)</f>
        <v>0.40654621295679771</v>
      </c>
      <c r="AS21" s="28">
        <f>CORREL('DATASET 25%'!$T2:$T21,'DATASET 25%'!AS2:AS21)</f>
        <v>-0.65741060492357595</v>
      </c>
      <c r="AT21" s="28">
        <f>CORREL('DATASET 25%'!$T2:$T21,'DATASET 25%'!AT2:AT21)</f>
        <v>0.74581603558967391</v>
      </c>
      <c r="AU21" s="28">
        <f>CORREL('DATASET 25%'!$T2:$T21,'DATASET 25%'!AU2:AU21)</f>
        <v>0.4228927940003131</v>
      </c>
      <c r="AV21" s="28">
        <f>CORREL('DATASET 25%'!$T2:$T21,'DATASET 25%'!AV2:AV21)</f>
        <v>0</v>
      </c>
      <c r="AW21" s="28">
        <f>CORREL('DATASET 25%'!$T2:$T21,'DATASET 25%'!AW2:AW21)</f>
        <v>0.79300900322995782</v>
      </c>
      <c r="AX21" s="28">
        <f>CORREL('DATASET 25%'!$T2:$T21,'DATASET 25%'!AX2:AX21)</f>
        <v>-0.37359830577864034</v>
      </c>
      <c r="AY21" s="28">
        <f>CORREL('DATASET 25%'!$T2:$T21,'DATASET 25%'!AY2:AY21)</f>
        <v>-0.2539166875385041</v>
      </c>
    </row>
    <row r="22" spans="1:51" ht="20" customHeight="1" x14ac:dyDescent="0.15">
      <c r="A22" s="30" t="s">
        <v>20</v>
      </c>
      <c r="B22" s="29">
        <f>CORREL('DATASET 25%'!$U2:$U21,'DATASET 25%'!B2:B21)</f>
        <v>-0.36626597635554642</v>
      </c>
      <c r="C22" s="28">
        <f>CORREL('DATASET 25%'!$U2:$U21,'DATASET 25%'!C2:C21)</f>
        <v>-0.47524472212642549</v>
      </c>
      <c r="D22" s="28">
        <f>CORREL('DATASET 25%'!$U2:$U21,'DATASET 25%'!D2:D21)</f>
        <v>0.10127393670836668</v>
      </c>
      <c r="E22" s="28">
        <f>CORREL('DATASET 25%'!$U2:$U21,'DATASET 25%'!E2:E21)</f>
        <v>-0.33802043207474902</v>
      </c>
      <c r="F22" s="28">
        <f>CORREL('DATASET 25%'!$U2:$U21,'DATASET 25%'!F2:F21)</f>
        <v>-0.41730470328086272</v>
      </c>
      <c r="G22" s="28">
        <f>CORREL('DATASET 25%'!$U2:$U21,'DATASET 25%'!G2:G21)</f>
        <v>-3.812860132285166E-2</v>
      </c>
      <c r="H22" s="28">
        <f>CORREL('DATASET 25%'!$U2:$U21,'DATASET 25%'!H2:H21)</f>
        <v>0.11271158492200152</v>
      </c>
      <c r="I22" s="42">
        <f>CORREL('DATASET 25%'!$U2:$U21,'DATASET 25%'!I2:I21)</f>
        <v>0.49130434782608701</v>
      </c>
      <c r="J22" s="28">
        <f>CORREL('DATASET 25%'!$U2:$U21,'DATASET 25%'!J2:J21)</f>
        <v>0.10028634922598996</v>
      </c>
      <c r="K22" s="28">
        <f>CORREL('DATASET 25%'!$U2:$U21,'DATASET 25%'!K2:K21)</f>
        <v>-0.42657495751895919</v>
      </c>
      <c r="L22" s="28">
        <f>CORREL('DATASET 25%'!$U2:$U21,'DATASET 25%'!L2:L21)</f>
        <v>-0.16427762763565265</v>
      </c>
      <c r="M22" s="28">
        <f>CORREL('DATASET 25%'!$U2:$U21,'DATASET 25%'!M2:M21)</f>
        <v>0.48657472898560727</v>
      </c>
      <c r="N22" s="28">
        <f>CORREL('DATASET 25%'!$U2:$U21,'DATASET 25%'!N2:N21)</f>
        <v>0.22206996305928156</v>
      </c>
      <c r="O22" s="28">
        <f>CORREL('DATASET 25%'!$U2:$U21,'DATASET 25%'!O2:O21)</f>
        <v>-0.54426522046053816</v>
      </c>
      <c r="P22" s="28">
        <f>CORREL('DATASET 25%'!$U2:$U21,'DATASET 25%'!P2:P21)</f>
        <v>0.55894859749869397</v>
      </c>
      <c r="Q22" s="28">
        <f>CORREL('DATASET 25%'!$U2:$U21,'DATASET 25%'!Q2:Q21)</f>
        <v>-0.53510703211070376</v>
      </c>
      <c r="R22" s="28">
        <f>CORREL('DATASET 25%'!$U2:$U21,'DATASET 25%'!R2:R21)</f>
        <v>0.51096354453362369</v>
      </c>
      <c r="S22" s="38">
        <f>CORREL('DATASET 25%'!$U2:$U21,'DATASET 25%'!S2:S21)</f>
        <v>0.25777838978338286</v>
      </c>
      <c r="T22" s="28">
        <f>CORREL('DATASET 25%'!$U2:$U21,'DATASET 25%'!T2:T21)</f>
        <v>-0.36647045615996837</v>
      </c>
      <c r="U22" s="28">
        <f>CORREL('DATASET 25%'!$U2:$U21,'DATASET 25%'!U2:U21)</f>
        <v>1</v>
      </c>
      <c r="V22" s="28">
        <f>CORREL('DATASET 25%'!$U2:$U21,'DATASET 25%'!V2:V21)</f>
        <v>0.36115755925730764</v>
      </c>
      <c r="W22" s="28">
        <f>CORREL('DATASET 25%'!$U2:$U21,'DATASET 25%'!W2:W21)</f>
        <v>-0.262927750332694</v>
      </c>
      <c r="X22" s="28">
        <f>CORREL('DATASET 25%'!$U2:$U21,'DATASET 25%'!X2:X21)</f>
        <v>-0.34064910840252371</v>
      </c>
      <c r="Y22" s="28">
        <f>CORREL('DATASET 25%'!$U2:$U21,'DATASET 25%'!Y2:Y21)</f>
        <v>-0.74104895192797426</v>
      </c>
      <c r="Z22" s="28">
        <f>CORREL('DATASET 25%'!$U2:$U21,'DATASET 25%'!Z2:Z21)</f>
        <v>-0.10129762753928931</v>
      </c>
      <c r="AA22" s="28">
        <f>CORREL('DATASET 25%'!$U2:$U21,'DATASET 25%'!AA2:AA21)</f>
        <v>9.2910575142158933E-2</v>
      </c>
      <c r="AB22" s="28">
        <f>CORREL('DATASET 25%'!$U2:$U21,'DATASET 25%'!AB2:AB21)</f>
        <v>-0.40591704985499727</v>
      </c>
      <c r="AC22" s="28">
        <f>CORREL('DATASET 25%'!$U2:$U21,'DATASET 25%'!AC2:AC21)</f>
        <v>-0.16337903272248039</v>
      </c>
      <c r="AD22" s="28">
        <f>CORREL('DATASET 25%'!$U2:$U21,'DATASET 25%'!AD2:AD21)</f>
        <v>0.75437193314800488</v>
      </c>
      <c r="AE22" s="28">
        <f>CORREL('DATASET 25%'!$U2:$U21,'DATASET 25%'!AE2:AE21)</f>
        <v>0.44910678975289448</v>
      </c>
      <c r="AF22" s="28">
        <f>CORREL('DATASET 25%'!$U2:$U21,'DATASET 25%'!AF2:AF21)</f>
        <v>0.36020657199696382</v>
      </c>
      <c r="AG22" s="28">
        <f>CORREL('DATASET 25%'!$U2:$U21,'DATASET 25%'!AG2:AG21)</f>
        <v>-0.56577894986100374</v>
      </c>
      <c r="AH22" s="28">
        <f>CORREL('DATASET 25%'!$U2:$U21,'DATASET 25%'!AH2:AH21)</f>
        <v>-0.17550294029241237</v>
      </c>
      <c r="AI22" s="28">
        <f>CORREL('DATASET 25%'!$U2:$U21,'DATASET 25%'!AI2:AI21)</f>
        <v>-0.20656848019521196</v>
      </c>
      <c r="AJ22" s="28">
        <f>CORREL('DATASET 25%'!$U2:$U21,'DATASET 25%'!AJ2:AJ21)</f>
        <v>-3.8765384699841483E-2</v>
      </c>
      <c r="AK22" s="28">
        <f>CORREL('DATASET 25%'!$U2:$U21,'DATASET 25%'!AK2:AK21)</f>
        <v>0.1626992105899939</v>
      </c>
      <c r="AL22" s="28">
        <f>CORREL('DATASET 25%'!$U2:$U21,'DATASET 25%'!AL2:AL21)</f>
        <v>6.477502756312957E-2</v>
      </c>
      <c r="AM22" s="28">
        <f>CORREL('DATASET 25%'!$U2:$U21,'DATASET 25%'!AM2:AM21)</f>
        <v>-0.31374750995027834</v>
      </c>
      <c r="AN22" s="28">
        <f>CORREL('DATASET 25%'!$U2:$U21,'DATASET 25%'!AN2:AN21)</f>
        <v>-0.25993762245501822</v>
      </c>
      <c r="AO22" s="28">
        <f>CORREL('DATASET 25%'!$U2:$U21,'DATASET 25%'!AO2:AO21)</f>
        <v>0.44107543608759225</v>
      </c>
      <c r="AP22" s="28">
        <f>CORREL('DATASET 25%'!$U2:$U21,'DATASET 25%'!AP2:AP21)</f>
        <v>0.535481674940681</v>
      </c>
      <c r="AQ22" s="28">
        <f>CORREL('DATASET 25%'!$U2:$U21,'DATASET 25%'!AQ2:AQ21)</f>
        <v>-0.10320313742306722</v>
      </c>
      <c r="AR22" s="28">
        <f>CORREL('DATASET 25%'!$U2:$U21,'DATASET 25%'!AR2:AR21)</f>
        <v>0.27735009811261457</v>
      </c>
      <c r="AS22" s="28">
        <f>CORREL('DATASET 25%'!$U2:$U21,'DATASET 25%'!AS2:AS21)</f>
        <v>0.45845460404900218</v>
      </c>
      <c r="AT22" s="28">
        <f>CORREL('DATASET 25%'!$U2:$U21,'DATASET 25%'!AT2:AT21)</f>
        <v>-7.0070379436785124E-2</v>
      </c>
      <c r="AU22" s="28">
        <f>CORREL('DATASET 25%'!$U2:$U21,'DATASET 25%'!AU2:AU21)</f>
        <v>0.16775753073468519</v>
      </c>
      <c r="AV22" s="28">
        <f>CORREL('DATASET 25%'!$U2:$U21,'DATASET 25%'!AV2:AV21)</f>
        <v>0</v>
      </c>
      <c r="AW22" s="28">
        <f>CORREL('DATASET 25%'!$U2:$U21,'DATASET 25%'!AW2:AW21)</f>
        <v>-0.45585990504422919</v>
      </c>
      <c r="AX22" s="28">
        <f>CORREL('DATASET 25%'!$U2:$U21,'DATASET 25%'!AX2:AX21)</f>
        <v>0.67863325166106558</v>
      </c>
      <c r="AY22" s="28">
        <f>CORREL('DATASET 25%'!$U2:$U21,'DATASET 25%'!AY2:AY21)</f>
        <v>0.23150132984005872</v>
      </c>
    </row>
    <row r="23" spans="1:51" ht="20" customHeight="1" x14ac:dyDescent="0.15">
      <c r="A23" s="30" t="s">
        <v>21</v>
      </c>
      <c r="B23" s="29">
        <f>CORREL('DATASET 25%'!$V2:$V21,'DATASET 25%'!B2:B21)</f>
        <v>-0.28252896560880658</v>
      </c>
      <c r="C23" s="28">
        <f>CORREL('DATASET 25%'!$V2:$V21,'DATASET 25%'!C2:C21)</f>
        <v>0.38924947208076155</v>
      </c>
      <c r="D23" s="28">
        <f>CORREL('DATASET 25%'!$V2:$V21,'DATASET 25%'!D2:D21)</f>
        <v>0.80555555555555558</v>
      </c>
      <c r="E23" s="28">
        <f>CORREL('DATASET 25%'!$V2:$V21,'DATASET 25%'!E2:E21)</f>
        <v>-0.45324710388668116</v>
      </c>
      <c r="F23" s="28">
        <f>CORREL('DATASET 25%'!$V2:$V21,'DATASET 25%'!F2:F21)</f>
        <v>-0.54260951623429332</v>
      </c>
      <c r="G23" s="28">
        <f>CORREL('DATASET 25%'!$V2:$V21,'DATASET 25%'!G2:G21)</f>
        <v>-0.34200306009948073</v>
      </c>
      <c r="H23" s="28">
        <f>CORREL('DATASET 25%'!$V2:$V21,'DATASET 25%'!H2:H21)</f>
        <v>0.87995526418581393</v>
      </c>
      <c r="I23" s="42">
        <f>CORREL('DATASET 25%'!$V2:$V21,'DATASET 25%'!I2:I21)</f>
        <v>0.31237800116653941</v>
      </c>
      <c r="J23" s="28">
        <f>CORREL('DATASET 25%'!$V2:$V21,'DATASET 25%'!J2:J21)</f>
        <v>0.58333333333333337</v>
      </c>
      <c r="K23" s="28">
        <f>CORREL('DATASET 25%'!$V2:$V21,'DATASET 25%'!K2:K21)</f>
        <v>0</v>
      </c>
      <c r="L23" s="28">
        <f>CORREL('DATASET 25%'!$V2:$V21,'DATASET 25%'!L2:L21)</f>
        <v>0.46717659215115664</v>
      </c>
      <c r="M23" s="28">
        <f>CORREL('DATASET 25%'!$V2:$V21,'DATASET 25%'!M2:M21)</f>
        <v>0.4490132550669374</v>
      </c>
      <c r="N23" s="28">
        <f>CORREL('DATASET 25%'!$V2:$V21,'DATASET 25%'!N2:N21)</f>
        <v>0.2370227315699886</v>
      </c>
      <c r="O23" s="28">
        <f>CORREL('DATASET 25%'!$V2:$V21,'DATASET 25%'!O2:O21)</f>
        <v>-0.70478315958919047</v>
      </c>
      <c r="P23" s="28">
        <f>CORREL('DATASET 25%'!$V2:$V21,'DATASET 25%'!P2:P21)</f>
        <v>5.3300179088902631E-2</v>
      </c>
      <c r="Q23" s="28">
        <f>CORREL('DATASET 25%'!$V2:$V21,'DATASET 25%'!Q2:Q21)</f>
        <v>0.6153846153846152</v>
      </c>
      <c r="R23" s="28">
        <f>CORREL('DATASET 25%'!$V2:$V21,'DATASET 25%'!R2:R21)</f>
        <v>0.69663054601923613</v>
      </c>
      <c r="S23" s="38">
        <f>CORREL('DATASET 25%'!$V2:$V21,'DATASET 25%'!S2:S21)</f>
        <v>0.84242353917423196</v>
      </c>
      <c r="T23" s="28">
        <f>CORREL('DATASET 25%'!$V2:$V21,'DATASET 25%'!T2:T21)</f>
        <v>-0.26189246330824856</v>
      </c>
      <c r="U23" s="28">
        <f>CORREL('DATASET 25%'!$V2:$V21,'DATASET 25%'!U2:U21)</f>
        <v>0.36115755925730764</v>
      </c>
      <c r="V23" s="28">
        <f>CORREL('DATASET 25%'!$V2:$V21,'DATASET 25%'!V2:V21)</f>
        <v>1</v>
      </c>
      <c r="W23" s="28">
        <f>CORREL('DATASET 25%'!$V2:$V21,'DATASET 25%'!W2:W21)</f>
        <v>0.48737732496649405</v>
      </c>
      <c r="X23" s="28">
        <f>CORREL('DATASET 25%'!$V2:$V21,'DATASET 25%'!X2:X21)</f>
        <v>-0.59781085599784167</v>
      </c>
      <c r="Y23" s="28">
        <f>CORREL('DATASET 25%'!$V2:$V21,'DATASET 25%'!Y2:Y21)</f>
        <v>-0.51426536386272836</v>
      </c>
      <c r="Z23" s="28">
        <f>CORREL('DATASET 25%'!$V2:$V21,'DATASET 25%'!Z2:Z21)</f>
        <v>-0.35355339059327384</v>
      </c>
      <c r="AA23" s="28">
        <f>CORREL('DATASET 25%'!$V2:$V21,'DATASET 25%'!AA2:AA21)</f>
        <v>0.34587016093369349</v>
      </c>
      <c r="AB23" s="28">
        <f>CORREL('DATASET 25%'!$V2:$V21,'DATASET 25%'!AB2:AB21)</f>
        <v>-0.73029674334022154</v>
      </c>
      <c r="AC23" s="28">
        <f>CORREL('DATASET 25%'!$V2:$V21,'DATASET 25%'!AC2:AC21)</f>
        <v>-0.35754847096709702</v>
      </c>
      <c r="AD23" s="28">
        <f>CORREL('DATASET 25%'!$V2:$V21,'DATASET 25%'!AD2:AD21)</f>
        <v>0.50917507721731536</v>
      </c>
      <c r="AE23" s="28">
        <f>CORREL('DATASET 25%'!$V2:$V21,'DATASET 25%'!AE2:AE21)</f>
        <v>0.4375</v>
      </c>
      <c r="AF23" s="28">
        <f>CORREL('DATASET 25%'!$V2:$V21,'DATASET 25%'!AF2:AF21)</f>
        <v>0.48307916260016465</v>
      </c>
      <c r="AG23" s="28">
        <f>CORREL('DATASET 25%'!$V2:$V21,'DATASET 25%'!AG2:AG21)</f>
        <v>-0.56180064773358962</v>
      </c>
      <c r="AH23" s="28">
        <f>CORREL('DATASET 25%'!$V2:$V21,'DATASET 25%'!AH2:AH21)</f>
        <v>-0.70367071606238607</v>
      </c>
      <c r="AI23" s="28">
        <f>CORREL('DATASET 25%'!$V2:$V21,'DATASET 25%'!AI2:AI21)</f>
        <v>-0.21821789023599231</v>
      </c>
      <c r="AJ23" s="28">
        <f>CORREL('DATASET 25%'!$V2:$V21,'DATASET 25%'!AJ2:AJ21)</f>
        <v>-0.21661214442955293</v>
      </c>
      <c r="AK23" s="28">
        <f>CORREL('DATASET 25%'!$V2:$V21,'DATASET 25%'!AK2:AK21)</f>
        <v>0.50515137097137963</v>
      </c>
      <c r="AL23" s="28">
        <f>CORREL('DATASET 25%'!$V2:$V21,'DATASET 25%'!AL2:AL21)</f>
        <v>0.58371723158701849</v>
      </c>
      <c r="AM23" s="28">
        <f>CORREL('DATASET 25%'!$V2:$V21,'DATASET 25%'!AM2:AM21)</f>
        <v>-2.4056261216234436E-2</v>
      </c>
      <c r="AN23" s="28">
        <f>CORREL('DATASET 25%'!$V2:$V21,'DATASET 25%'!AN2:AN21)</f>
        <v>-0.36404686577682244</v>
      </c>
      <c r="AO23" s="28">
        <f>CORREL('DATASET 25%'!$V2:$V21,'DATASET 25%'!AO2:AO21)</f>
        <v>7.3127242412712984E-2</v>
      </c>
      <c r="AP23" s="28">
        <f>CORREL('DATASET 25%'!$V2:$V21,'DATASET 25%'!AP2:AP21)</f>
        <v>0.32991443953692901</v>
      </c>
      <c r="AQ23" s="28">
        <f>CORREL('DATASET 25%'!$V2:$V21,'DATASET 25%'!AQ2:AQ21)</f>
        <v>-0.89442719099991597</v>
      </c>
      <c r="AR23" s="28">
        <f>CORREL('DATASET 25%'!$V2:$V21,'DATASET 25%'!AR2:AR21)</f>
        <v>0.42025222702703841</v>
      </c>
      <c r="AS23" s="28">
        <f>CORREL('DATASET 25%'!$V2:$V21,'DATASET 25%'!AS2:AS21)</f>
        <v>0.39999999999999986</v>
      </c>
      <c r="AT23" s="28">
        <f>CORREL('DATASET 25%'!$V2:$V21,'DATASET 25%'!AT2:AT21)</f>
        <v>4.3033148291193535E-2</v>
      </c>
      <c r="AU23" s="28">
        <f>CORREL('DATASET 25%'!$V2:$V21,'DATASET 25%'!AU2:AU21)</f>
        <v>-6.5288395561963489E-2</v>
      </c>
      <c r="AV23" s="28">
        <f>CORREL('DATASET 25%'!$V2:$V21,'DATASET 25%'!AV2:AV21)</f>
        <v>0.5087470190691683</v>
      </c>
      <c r="AW23" s="28">
        <f>CORREL('DATASET 25%'!$V2:$V21,'DATASET 25%'!AW2:AW21)</f>
        <v>-0.10044292546128844</v>
      </c>
      <c r="AX23" s="28">
        <f>CORREL('DATASET 25%'!$V2:$V21,'DATASET 25%'!AX2:AX21)</f>
        <v>-3.0934411244487345E-2</v>
      </c>
      <c r="AY23" s="28">
        <f>CORREL('DATASET 25%'!$V2:$V21,'DATASET 25%'!AY2:AY21)</f>
        <v>0.70417879021953023</v>
      </c>
    </row>
    <row r="24" spans="1:51" ht="20" customHeight="1" x14ac:dyDescent="0.15">
      <c r="A24" s="30" t="s">
        <v>22</v>
      </c>
      <c r="B24" s="29">
        <f>CORREL('DATASET 25%'!$W2:$W21,'DATASET 25%'!B2:B21)</f>
        <v>-0.4691588688636999</v>
      </c>
      <c r="C24" s="28">
        <f>CORREL('DATASET 25%'!$W2:$W21,'DATASET 25%'!C2:C21)</f>
        <v>0.25604806211933256</v>
      </c>
      <c r="D24" s="28">
        <f>CORREL('DATASET 25%'!$W2:$W21,'DATASET 25%'!D2:D21)</f>
        <v>0.52486685622201823</v>
      </c>
      <c r="E24" s="28">
        <f>CORREL('DATASET 25%'!$W2:$W21,'DATASET 25%'!E2:E21)</f>
        <v>-0.64226162893325633</v>
      </c>
      <c r="F24" s="28">
        <f>CORREL('DATASET 25%'!$W2:$W21,'DATASET 25%'!F2:F21)</f>
        <v>-0.32970016398705726</v>
      </c>
      <c r="G24" s="28">
        <f>CORREL('DATASET 25%'!$W2:$W21,'DATASET 25%'!G2:G21)</f>
        <v>-4.7107749715070785E-2</v>
      </c>
      <c r="H24" s="28">
        <f>CORREL('DATASET 25%'!$W2:$W21,'DATASET 25%'!H2:H21)</f>
        <v>0.45342519294190708</v>
      </c>
      <c r="I24" s="42">
        <f>CORREL('DATASET 25%'!$W2:$W21,'DATASET 25%'!I2:I21)</f>
        <v>0.24144311666641385</v>
      </c>
      <c r="J24" s="28">
        <f>CORREL('DATASET 25%'!$W2:$W21,'DATASET 25%'!J2:J21)</f>
        <v>0.73817725539152079</v>
      </c>
      <c r="K24" s="28">
        <f>CORREL('DATASET 25%'!$W2:$W21,'DATASET 25%'!K2:K21)</f>
        <v>-2.3890924128374791E-2</v>
      </c>
      <c r="L24" s="28">
        <f>CORREL('DATASET 25%'!$W2:$W21,'DATASET 25%'!L2:L21)</f>
        <v>0.50050198015877745</v>
      </c>
      <c r="M24" s="28">
        <f>CORREL('DATASET 25%'!$W2:$W21,'DATASET 25%'!M2:M21)</f>
        <v>0.42933879074109182</v>
      </c>
      <c r="N24" s="28">
        <f>CORREL('DATASET 25%'!$W2:$W21,'DATASET 25%'!N2:N21)</f>
        <v>-3.0661001582013854E-2</v>
      </c>
      <c r="O24" s="28">
        <f>CORREL('DATASET 25%'!$W2:$W21,'DATASET 25%'!O2:O21)</f>
        <v>-0.22002137454319812</v>
      </c>
      <c r="P24" s="28">
        <f>CORREL('DATASET 25%'!$W2:$W21,'DATASET 25%'!P2:P21)</f>
        <v>1.6854996561581015E-2</v>
      </c>
      <c r="Q24" s="28">
        <f>CORREL('DATASET 25%'!$W2:$W21,'DATASET 25%'!Q2:Q21)</f>
        <v>9.198440996365477E-2</v>
      </c>
      <c r="R24" s="28">
        <f>CORREL('DATASET 25%'!$W2:$W21,'DATASET 25%'!R2:R21)</f>
        <v>0.62136851776819446</v>
      </c>
      <c r="S24" s="38">
        <f>CORREL('DATASET 25%'!$W2:$W21,'DATASET 25%'!S2:S21)</f>
        <v>0.56503901081996755</v>
      </c>
      <c r="T24" s="28">
        <f>CORREL('DATASET 25%'!$W2:$W21,'DATASET 25%'!T2:T21)</f>
        <v>-0.72501848820717718</v>
      </c>
      <c r="U24" s="28">
        <f>CORREL('DATASET 25%'!$W2:$W21,'DATASET 25%'!U2:U21)</f>
        <v>-0.262927750332694</v>
      </c>
      <c r="V24" s="28">
        <f>CORREL('DATASET 25%'!$W2:$W21,'DATASET 25%'!V2:V21)</f>
        <v>0.48737732496649405</v>
      </c>
      <c r="W24" s="28">
        <f>CORREL('DATASET 25%'!$W2:$W21,'DATASET 25%'!W2:W21)</f>
        <v>1</v>
      </c>
      <c r="X24" s="28">
        <f>CORREL('DATASET 25%'!$W2:$W21,'DATASET 25%'!X2:X21)</f>
        <v>-0.37998029782867415</v>
      </c>
      <c r="Y24" s="28">
        <f>CORREL('DATASET 25%'!$W2:$W21,'DATASET 25%'!Y2:Y21)</f>
        <v>-0.52114390557129175</v>
      </c>
      <c r="Z24" s="28">
        <f>CORREL('DATASET 25%'!$W2:$W21,'DATASET 25%'!Z2:Z21)</f>
        <v>-9.0548776448046745E-17</v>
      </c>
      <c r="AA24" s="28">
        <f>CORREL('DATASET 25%'!$W2:$W21,'DATASET 25%'!AA2:AA21)</f>
        <v>0.3199881655878109</v>
      </c>
      <c r="AB24" s="28">
        <f>CORREL('DATASET 25%'!$W2:$W21,'DATASET 25%'!AB2:AB21)</f>
        <v>-0.54396841759817471</v>
      </c>
      <c r="AC24" s="28">
        <f>CORREL('DATASET 25%'!$W2:$W21,'DATASET 25%'!AC2:AC21)</f>
        <v>-0.24707933901423645</v>
      </c>
      <c r="AD24" s="28">
        <f>CORREL('DATASET 25%'!$W2:$W21,'DATASET 25%'!AD2:AD21)</f>
        <v>0.25451390519031108</v>
      </c>
      <c r="AE24" s="28">
        <f>CORREL('DATASET 25%'!$W2:$W21,'DATASET 25%'!AE2:AE21)</f>
        <v>0.48462382158454093</v>
      </c>
      <c r="AF24" s="28">
        <f>CORREL('DATASET 25%'!$W2:$W21,'DATASET 25%'!AF2:AF21)</f>
        <v>0.39876947478097419</v>
      </c>
      <c r="AG24" s="28">
        <f>CORREL('DATASET 25%'!$W2:$W21,'DATASET 25%'!AG2:AG21)</f>
        <v>-0.41739193556484117</v>
      </c>
      <c r="AH24" s="28">
        <f>CORREL('DATASET 25%'!$W2:$W21,'DATASET 25%'!AH2:AH21)</f>
        <v>-0.57173115475474245</v>
      </c>
      <c r="AI24" s="28">
        <f>CORREL('DATASET 25%'!$W2:$W21,'DATASET 25%'!AI2:AI21)</f>
        <v>0.72829264988432396</v>
      </c>
      <c r="AJ24" s="28">
        <f>CORREL('DATASET 25%'!$W2:$W21,'DATASET 25%'!AJ2:AJ21)</f>
        <v>-0.25891313423681767</v>
      </c>
      <c r="AK24" s="28">
        <f>CORREL('DATASET 25%'!$W2:$W21,'DATASET 25%'!AK2:AK21)</f>
        <v>9.9273304864544915E-2</v>
      </c>
      <c r="AL24" s="28">
        <f>CORREL('DATASET 25%'!$W2:$W21,'DATASET 25%'!AL2:AL21)</f>
        <v>-0.10611626162285512</v>
      </c>
      <c r="AM24" s="28">
        <f>CORREL('DATASET 25%'!$W2:$W21,'DATASET 25%'!AM2:AM21)</f>
        <v>-0.50491861765785218</v>
      </c>
      <c r="AN24" s="28">
        <f>CORREL('DATASET 25%'!$W2:$W21,'DATASET 25%'!AN2:AN21)</f>
        <v>3.9073233258228167E-2</v>
      </c>
      <c r="AO24" s="28">
        <f>CORREL('DATASET 25%'!$W2:$W21,'DATASET 25%'!AO2:AO21)</f>
        <v>0.55492756861953996</v>
      </c>
      <c r="AP24" s="28">
        <f>CORREL('DATASET 25%'!$W2:$W21,'DATASET 25%'!AP2:AP21)</f>
        <v>0.47744630259057508</v>
      </c>
      <c r="AQ24" s="28">
        <f>CORREL('DATASET 25%'!$W2:$W21,'DATASET 25%'!AQ2:AQ21)</f>
        <v>-0.63461538461538458</v>
      </c>
      <c r="AR24" s="28">
        <f>CORREL('DATASET 25%'!$W2:$W21,'DATASET 25%'!AR2:AR21)</f>
        <v>-0.21213203435596423</v>
      </c>
      <c r="AS24" s="28">
        <f>CORREL('DATASET 25%'!$W2:$W21,'DATASET 25%'!AS2:AS21)</f>
        <v>0.43692010032599726</v>
      </c>
      <c r="AT24" s="28">
        <f>CORREL('DATASET 25%'!$W2:$W21,'DATASET 25%'!AT2:AT21)</f>
        <v>-0.55065942873214546</v>
      </c>
      <c r="AU24" s="28">
        <f>CORREL('DATASET 25%'!$W2:$W21,'DATASET 25%'!AU2:AU21)</f>
        <v>-0.62471909335720255</v>
      </c>
      <c r="AV24" s="28">
        <f>CORREL('DATASET 25%'!$W2:$W21,'DATASET 25%'!AV2:AV21)</f>
        <v>0.3386670053338412</v>
      </c>
      <c r="AW24" s="28">
        <f>CORREL('DATASET 25%'!$W2:$W21,'DATASET 25%'!AW2:AW21)</f>
        <v>-0.31933900659008685</v>
      </c>
      <c r="AX24" s="28">
        <f>CORREL('DATASET 25%'!$W2:$W21,'DATASET 25%'!AX2:AX21)</f>
        <v>-4.4458937126848674E-2</v>
      </c>
      <c r="AY24" s="28">
        <f>CORREL('DATASET 25%'!$W2:$W21,'DATASET 25%'!AY2:AY21)</f>
        <v>0.68250014770174439</v>
      </c>
    </row>
    <row r="25" spans="1:51" ht="20" customHeight="1" x14ac:dyDescent="0.15">
      <c r="A25" s="30" t="s">
        <v>23</v>
      </c>
      <c r="B25" s="29">
        <f>CORREL('DATASET 25%'!$X2:$X21,'DATASET 25%'!B2:B21)</f>
        <v>0.651989708285449</v>
      </c>
      <c r="C25" s="28">
        <f>CORREL('DATASET 25%'!$X2:$X21,'DATASET 25%'!C2:C21)</f>
        <v>0.49208226123522403</v>
      </c>
      <c r="D25" s="28">
        <f>CORREL('DATASET 25%'!$X2:$X21,'DATASET 25%'!D2:D21)</f>
        <v>-0.19706585563285867</v>
      </c>
      <c r="E25" s="28">
        <f>CORREL('DATASET 25%'!$X2:$X21,'DATASET 25%'!E2:E21)</f>
        <v>0.85092473822273029</v>
      </c>
      <c r="F25" s="28">
        <f>CORREL('DATASET 25%'!$X2:$X21,'DATASET 25%'!F2:F21)</f>
        <v>0.48078071661193628</v>
      </c>
      <c r="G25" s="28">
        <f>CORREL('DATASET 25%'!$X2:$X21,'DATASET 25%'!G2:G21)</f>
        <v>0.33839673676038678</v>
      </c>
      <c r="H25" s="28">
        <f>CORREL('DATASET 25%'!$X2:$X21,'DATASET 25%'!H2:H21)</f>
        <v>-0.18772930178557282</v>
      </c>
      <c r="I25" s="42">
        <f>CORREL('DATASET 25%'!$X2:$X21,'DATASET 25%'!I2:I21)</f>
        <v>-0.62546279162209462</v>
      </c>
      <c r="J25" s="28">
        <f>CORREL('DATASET 25%'!$X2:$X21,'DATASET 25%'!J2:J21)</f>
        <v>-3.1935682431108982E-2</v>
      </c>
      <c r="K25" s="28">
        <f>CORREL('DATASET 25%'!$X2:$X21,'DATASET 25%'!K2:K21)</f>
        <v>0.54691411048517258</v>
      </c>
      <c r="L25" s="28">
        <f>CORREL('DATASET 25%'!$X2:$X21,'DATASET 25%'!L2:L21)</f>
        <v>-0.16416011933043292</v>
      </c>
      <c r="M25" s="28">
        <f>CORREL('DATASET 25%'!$X2:$X21,'DATASET 25%'!M2:M21)</f>
        <v>-0.76254617866593799</v>
      </c>
      <c r="N25" s="28">
        <f>CORREL('DATASET 25%'!$X2:$X21,'DATASET 25%'!N2:N21)</f>
        <v>-2.2349507813383719E-2</v>
      </c>
      <c r="O25" s="28">
        <f>CORREL('DATASET 25%'!$X2:$X21,'DATASET 25%'!O2:O21)</f>
        <v>0.85747237873305715</v>
      </c>
      <c r="P25" s="28">
        <f>CORREL('DATASET 25%'!$X2:$X21,'DATASET 25%'!P2:P21)</f>
        <v>-0.41346127764586282</v>
      </c>
      <c r="Q25" s="28">
        <f>CORREL('DATASET 25%'!$X2:$X21,'DATASET 25%'!Q2:Q21)</f>
        <v>-5.8703622445472239E-2</v>
      </c>
      <c r="R25" s="28">
        <f>CORREL('DATASET 25%'!$X2:$X21,'DATASET 25%'!R2:R21)</f>
        <v>-0.49593489190018542</v>
      </c>
      <c r="S25" s="38">
        <f>CORREL('DATASET 25%'!$X2:$X21,'DATASET 25%'!S2:S21)</f>
        <v>-0.82583648484734218</v>
      </c>
      <c r="T25" s="28">
        <f>CORREL('DATASET 25%'!$X2:$X21,'DATASET 25%'!T2:T21)</f>
        <v>0.67227745291367902</v>
      </c>
      <c r="U25" s="28">
        <f>CORREL('DATASET 25%'!$X2:$X21,'DATASET 25%'!U2:U21)</f>
        <v>-0.34064910840252371</v>
      </c>
      <c r="V25" s="28">
        <f>CORREL('DATASET 25%'!$X2:$X21,'DATASET 25%'!V2:V21)</f>
        <v>-0.59781085599784167</v>
      </c>
      <c r="W25" s="28">
        <f>CORREL('DATASET 25%'!$X2:$X21,'DATASET 25%'!W2:W21)</f>
        <v>-0.37998029782867415</v>
      </c>
      <c r="X25" s="28">
        <f>CORREL('DATASET 25%'!$X2:$X21,'DATASET 25%'!X2:X21)</f>
        <v>1</v>
      </c>
      <c r="Y25" s="28">
        <f>CORREL('DATASET 25%'!$X2:$X21,'DATASET 25%'!Y2:Y21)</f>
        <v>0.85625762303213793</v>
      </c>
      <c r="Z25" s="28">
        <f>CORREL('DATASET 25%'!$X2:$X21,'DATASET 25%'!Z2:Z21)</f>
        <v>0.68153719917159039</v>
      </c>
      <c r="AA25" s="28">
        <f>CORREL('DATASET 25%'!$X2:$X21,'DATASET 25%'!AA2:AA21)</f>
        <v>0.11615534207286168</v>
      </c>
      <c r="AB25" s="28">
        <f>CORREL('DATASET 25%'!$X2:$X21,'DATASET 25%'!AB2:AB21)</f>
        <v>0.5145300101567154</v>
      </c>
      <c r="AC25" s="28">
        <f>CORREL('DATASET 25%'!$X2:$X21,'DATASET 25%'!AC2:AC21)</f>
        <v>0.3782848498186116</v>
      </c>
      <c r="AD25" s="28">
        <f>CORREL('DATASET 25%'!$X2:$X21,'DATASET 25%'!AD2:AD21)</f>
        <v>-0.11555246348404065</v>
      </c>
      <c r="AE25" s="28">
        <f>CORREL('DATASET 25%'!$X2:$X21,'DATASET 25%'!AE2:AE21)</f>
        <v>-0.67741941131290995</v>
      </c>
      <c r="AF25" s="28">
        <f>CORREL('DATASET 25%'!$X2:$X21,'DATASET 25%'!AF2:AF21)</f>
        <v>-0.2206842995319124</v>
      </c>
      <c r="AG25" s="28">
        <f>CORREL('DATASET 25%'!$X2:$X21,'DATASET 25%'!AG2:AG21)</f>
        <v>0.71281449226386262</v>
      </c>
      <c r="AH25" s="28">
        <f>CORREL('DATASET 25%'!$X2:$X21,'DATASET 25%'!AH2:AH21)</f>
        <v>0.44216440619668557</v>
      </c>
      <c r="AI25" s="28">
        <f>CORREL('DATASET 25%'!$X2:$X21,'DATASET 25%'!AI2:AI21)</f>
        <v>-6.8314270197188873E-2</v>
      </c>
      <c r="AJ25" s="28">
        <f>CORREL('DATASET 25%'!$X2:$X21,'DATASET 25%'!AJ2:AJ21)</f>
        <v>4.6207068373809036E-2</v>
      </c>
      <c r="AK25" s="28">
        <f>CORREL('DATASET 25%'!$X2:$X21,'DATASET 25%'!AK2:AK21)</f>
        <v>-0.30017425885609672</v>
      </c>
      <c r="AL25" s="28">
        <f>CORREL('DATASET 25%'!$X2:$X21,'DATASET 25%'!AL2:AL21)</f>
        <v>-0.26035958758213296</v>
      </c>
      <c r="AM25" s="28">
        <f>CORREL('DATASET 25%'!$X2:$X21,'DATASET 25%'!AM2:AM21)</f>
        <v>0.51777370855837901</v>
      </c>
      <c r="AN25" s="28">
        <f>CORREL('DATASET 25%'!$X2:$X21,'DATASET 25%'!AN2:AN21)</f>
        <v>-0.19601021831382362</v>
      </c>
      <c r="AO25" s="28">
        <f>CORREL('DATASET 25%'!$X2:$X21,'DATASET 25%'!AO2:AO21)</f>
        <v>-0.34671142188951598</v>
      </c>
      <c r="AP25" s="28">
        <f>CORREL('DATASET 25%'!$X2:$X21,'DATASET 25%'!AP2:AP21)</f>
        <v>-0.54779549307863284</v>
      </c>
      <c r="AQ25" s="28">
        <f>CORREL('DATASET 25%'!$X2:$X21,'DATASET 25%'!AQ2:AQ21)</f>
        <v>0.16105025111433982</v>
      </c>
      <c r="AR25" s="28">
        <f>CORREL('DATASET 25%'!$X2:$X21,'DATASET 25%'!AR2:AR21)</f>
        <v>-0.52288516211853964</v>
      </c>
      <c r="AS25" s="28">
        <f>CORREL('DATASET 25%'!$X2:$X21,'DATASET 25%'!AS2:AS21)</f>
        <v>-0.42775742702260683</v>
      </c>
      <c r="AT25" s="28">
        <f>CORREL('DATASET 25%'!$X2:$X21,'DATASET 25%'!AT2:AT21)</f>
        <v>0.68853037265909633</v>
      </c>
      <c r="AU25" s="28">
        <f>CORREL('DATASET 25%'!$X2:$X21,'DATASET 25%'!AU2:AU21)</f>
        <v>-0.16009974717832379</v>
      </c>
      <c r="AV25" s="28">
        <f>CORREL('DATASET 25%'!$X2:$X21,'DATASET 25%'!AV2:AV21)</f>
        <v>5.1507875363771279E-2</v>
      </c>
      <c r="AW25" s="28">
        <f>CORREL('DATASET 25%'!$X2:$X21,'DATASET 25%'!AW2:AW21)</f>
        <v>0.72856916048551468</v>
      </c>
      <c r="AX25" s="28">
        <f>CORREL('DATASET 25%'!$X2:$X21,'DATASET 25%'!AX2:AX21)</f>
        <v>-0.11832890014054123</v>
      </c>
      <c r="AY25" s="28">
        <f>CORREL('DATASET 25%'!$X2:$X21,'DATASET 25%'!AY2:AY21)</f>
        <v>-0.44950221223701453</v>
      </c>
    </row>
    <row r="26" spans="1:51" ht="20" customHeight="1" x14ac:dyDescent="0.15">
      <c r="A26" s="30" t="s">
        <v>24</v>
      </c>
      <c r="B26" s="29">
        <f>CORREL('DATASET 25%'!$Y2:$Y21,'DATASET 25%'!B2:B21)</f>
        <v>0.87454588700340707</v>
      </c>
      <c r="C26" s="28">
        <f>CORREL('DATASET 25%'!$Y2:$Y21,'DATASET 25%'!C2:C21)</f>
        <v>0.36806571528259513</v>
      </c>
      <c r="D26" s="28">
        <f>CORREL('DATASET 25%'!$Y2:$Y21,'DATASET 25%'!D2:D21)</f>
        <v>-0.15041420939904668</v>
      </c>
      <c r="E26" s="28">
        <f>CORREL('DATASET 25%'!$Y2:$Y21,'DATASET 25%'!E2:E21)</f>
        <v>0.76996785202773221</v>
      </c>
      <c r="F26" s="28">
        <f>CORREL('DATASET 25%'!$Y2:$Y21,'DATASET 25%'!F2:F21)</f>
        <v>0.69398668065162505</v>
      </c>
      <c r="G26" s="28">
        <f>CORREL('DATASET 25%'!$Y2:$Y21,'DATASET 25%'!G2:G21)</f>
        <v>0.2124864740924485</v>
      </c>
      <c r="H26" s="28">
        <f>CORREL('DATASET 25%'!$Y2:$Y21,'DATASET 25%'!H2:H21)</f>
        <v>-0.35602620920148931</v>
      </c>
      <c r="I26" s="42">
        <f>CORREL('DATASET 25%'!$Y2:$Y21,'DATASET 25%'!I2:I21)</f>
        <v>-0.77786331701036793</v>
      </c>
      <c r="J26" s="28">
        <f>CORREL('DATASET 25%'!$Y2:$Y21,'DATASET 25%'!J2:J21)</f>
        <v>-5.8315447183666692E-2</v>
      </c>
      <c r="K26" s="28">
        <f>CORREL('DATASET 25%'!$Y2:$Y21,'DATASET 25%'!K2:K21)</f>
        <v>0.67158836189666937</v>
      </c>
      <c r="L26" s="28">
        <f>CORREL('DATASET 25%'!$Y2:$Y21,'DATASET 25%'!L2:L21)</f>
        <v>-0.21854334588326119</v>
      </c>
      <c r="M26" s="28">
        <f>CORREL('DATASET 25%'!$Y2:$Y21,'DATASET 25%'!M2:M21)</f>
        <v>-0.79628083673245242</v>
      </c>
      <c r="N26" s="28">
        <f>CORREL('DATASET 25%'!$Y2:$Y21,'DATASET 25%'!N2:N21)</f>
        <v>-0.36469840431289841</v>
      </c>
      <c r="O26" s="28">
        <f>CORREL('DATASET 25%'!$Y2:$Y21,'DATASET 25%'!O2:O21)</f>
        <v>0.82648986797100932</v>
      </c>
      <c r="P26" s="28">
        <f>CORREL('DATASET 25%'!$Y2:$Y21,'DATASET 25%'!P2:P21)</f>
        <v>-0.79719530981494746</v>
      </c>
      <c r="Q26" s="28">
        <f>CORREL('DATASET 25%'!$Y2:$Y21,'DATASET 25%'!Q2:Q21)</f>
        <v>0.24053511772118194</v>
      </c>
      <c r="R26" s="28">
        <f>CORREL('DATASET 25%'!$Y2:$Y21,'DATASET 25%'!R2:R21)</f>
        <v>-0.59239822545624821</v>
      </c>
      <c r="S26" s="38">
        <f>CORREL('DATASET 25%'!$Y2:$Y21,'DATASET 25%'!S2:S21)</f>
        <v>-0.86956806133359699</v>
      </c>
      <c r="T26" s="28">
        <f>CORREL('DATASET 25%'!$Y2:$Y21,'DATASET 25%'!T2:T21)</f>
        <v>0.80163043478260898</v>
      </c>
      <c r="U26" s="28">
        <f>CORREL('DATASET 25%'!$Y2:$Y21,'DATASET 25%'!U2:U21)</f>
        <v>-0.74104895192797426</v>
      </c>
      <c r="V26" s="28">
        <f>CORREL('DATASET 25%'!$Y2:$Y21,'DATASET 25%'!V2:V21)</f>
        <v>-0.51426536386272836</v>
      </c>
      <c r="W26" s="28">
        <f>CORREL('DATASET 25%'!$Y2:$Y21,'DATASET 25%'!W2:W21)</f>
        <v>-0.52114390557129175</v>
      </c>
      <c r="X26" s="28">
        <f>CORREL('DATASET 25%'!$Y2:$Y21,'DATASET 25%'!X2:X21)</f>
        <v>0.85625762303213793</v>
      </c>
      <c r="Y26" s="28">
        <f>CORREL('DATASET 25%'!$Y2:$Y21,'DATASET 25%'!Y2:Y21)</f>
        <v>1.0000000000000002</v>
      </c>
      <c r="Z26" s="28">
        <f>CORREL('DATASET 25%'!$Y2:$Y21,'DATASET 25%'!Z2:Z21)</f>
        <v>0.4001577213088322</v>
      </c>
      <c r="AA26" s="28">
        <f>CORREL('DATASET 25%'!$Y2:$Y21,'DATASET 25%'!AA2:AA21)</f>
        <v>-0.21657404091210497</v>
      </c>
      <c r="AB26" s="28">
        <f>CORREL('DATASET 25%'!$Y2:$Y21,'DATASET 25%'!AB2:AB21)</f>
        <v>0.65505006631028828</v>
      </c>
      <c r="AC26" s="28">
        <f>CORREL('DATASET 25%'!$Y2:$Y21,'DATASET 25%'!AC2:AC21)</f>
        <v>0.47709353720548681</v>
      </c>
      <c r="AD26" s="28">
        <f>CORREL('DATASET 25%'!$Y2:$Y21,'DATASET 25%'!AD2:AD21)</f>
        <v>-0.63738330950656985</v>
      </c>
      <c r="AE26" s="28">
        <f>CORREL('DATASET 25%'!$Y2:$Y21,'DATASET 25%'!AE2:AE21)</f>
        <v>-0.71838111651923908</v>
      </c>
      <c r="AF26" s="28">
        <f>CORREL('DATASET 25%'!$Y2:$Y21,'DATASET 25%'!AF2:AF21)</f>
        <v>-0.50210442589412763</v>
      </c>
      <c r="AG26" s="28">
        <f>CORREL('DATASET 25%'!$Y2:$Y21,'DATASET 25%'!AG2:AG21)</f>
        <v>0.62929824215192109</v>
      </c>
      <c r="AH26" s="28">
        <f>CORREL('DATASET 25%'!$Y2:$Y21,'DATASET 25%'!AH2:AH21)</f>
        <v>0.42237094187876373</v>
      </c>
      <c r="AI26" s="28">
        <f>CORREL('DATASET 25%'!$Y2:$Y21,'DATASET 25%'!AI2:AI21)</f>
        <v>0.10676524668807677</v>
      </c>
      <c r="AJ26" s="28">
        <f>CORREL('DATASET 25%'!$Y2:$Y21,'DATASET 25%'!AJ2:AJ21)</f>
        <v>0.35898455401287982</v>
      </c>
      <c r="AK26" s="28">
        <f>CORREL('DATASET 25%'!$Y2:$Y21,'DATASET 25%'!AK2:AK21)</f>
        <v>7.537276821582764E-2</v>
      </c>
      <c r="AL26" s="28">
        <f>CORREL('DATASET 25%'!$Y2:$Y21,'DATASET 25%'!AL2:AL21)</f>
        <v>-9.9136319419321911E-2</v>
      </c>
      <c r="AM26" s="28">
        <f>CORREL('DATASET 25%'!$Y2:$Y21,'DATASET 25%'!AM2:AM21)</f>
        <v>0.49647229162887496</v>
      </c>
      <c r="AN26" s="28">
        <f>CORREL('DATASET 25%'!$Y2:$Y21,'DATASET 25%'!AN2:AN21)</f>
        <v>0.16257980604187627</v>
      </c>
      <c r="AO26" s="28">
        <f>CORREL('DATASET 25%'!$Y2:$Y21,'DATASET 25%'!AO2:AO21)</f>
        <v>-0.55830172283178814</v>
      </c>
      <c r="AP26" s="28">
        <f>CORREL('DATASET 25%'!$Y2:$Y21,'DATASET 25%'!AP2:AP21)</f>
        <v>-0.61871759230469203</v>
      </c>
      <c r="AQ26" s="28">
        <f>CORREL('DATASET 25%'!$Y2:$Y21,'DATASET 25%'!AQ2:AQ21)</f>
        <v>-0.14975189244419537</v>
      </c>
      <c r="AR26" s="28">
        <f>CORREL('DATASET 25%'!$Y2:$Y21,'DATASET 25%'!AR2:AR21)</f>
        <v>5.2270837348931648E-2</v>
      </c>
      <c r="AS26" s="28">
        <f>CORREL('DATASET 25%'!$Y2:$Y21,'DATASET 25%'!AS2:AS21)</f>
        <v>-0.60488848859274802</v>
      </c>
      <c r="AT26" s="28">
        <f>CORREL('DATASET 25%'!$Y2:$Y21,'DATASET 25%'!AT2:AT21)</f>
        <v>0.39874665621294064</v>
      </c>
      <c r="AU26" s="28">
        <f>CORREL('DATASET 25%'!$Y2:$Y21,'DATASET 25%'!AU2:AU21)</f>
        <v>6.5094455490411929E-2</v>
      </c>
      <c r="AV26" s="28">
        <f>CORREL('DATASET 25%'!$Y2:$Y21,'DATASET 25%'!AV2:AV21)</f>
        <v>9.7012241311273617E-2</v>
      </c>
      <c r="AW26" s="28">
        <f>CORREL('DATASET 25%'!$Y2:$Y21,'DATASET 25%'!AW2:AW21)</f>
        <v>0.73867105035659864</v>
      </c>
      <c r="AX26" s="28">
        <f>CORREL('DATASET 25%'!$Y2:$Y21,'DATASET 25%'!AX2:AX21)</f>
        <v>-0.67295271138668888</v>
      </c>
      <c r="AY26" s="28">
        <f>CORREL('DATASET 25%'!$Y2:$Y21,'DATASET 25%'!AY2:AY21)</f>
        <v>-0.6064784348631227</v>
      </c>
    </row>
    <row r="27" spans="1:51" ht="20" customHeight="1" x14ac:dyDescent="0.15">
      <c r="A27" s="30" t="s">
        <v>25</v>
      </c>
      <c r="B27" s="29">
        <f>CORREL('DATASET 25%'!$Z2:$Z21,'DATASET 25%'!B2:B21)</f>
        <v>0.55669003200830536</v>
      </c>
      <c r="C27" s="28">
        <f>CORREL('DATASET 25%'!$Z2:$Z21,'DATASET 25%'!C2:C21)</f>
        <v>0.48073411169913627</v>
      </c>
      <c r="D27" s="28">
        <f>CORREL('DATASET 25%'!$Z2:$Z21,'DATASET 25%'!D2:D21)</f>
        <v>0.41414612149747354</v>
      </c>
      <c r="E27" s="28">
        <f>CORREL('DATASET 25%'!$Z2:$Z21,'DATASET 25%'!E2:E21)</f>
        <v>0.42589714296266862</v>
      </c>
      <c r="F27" s="28">
        <f>CORREL('DATASET 25%'!$Z2:$Z21,'DATASET 25%'!F2:F21)</f>
        <v>0.3515400682431799</v>
      </c>
      <c r="G27" s="28">
        <f>CORREL('DATASET 25%'!$Z2:$Z21,'DATASET 25%'!G2:G21)</f>
        <v>0.14803913136594804</v>
      </c>
      <c r="H27" s="28">
        <f>CORREL('DATASET 25%'!$Z2:$Z21,'DATASET 25%'!H2:H21)</f>
        <v>0.26550618836449408</v>
      </c>
      <c r="I27" s="42">
        <f>CORREL('DATASET 25%'!$Z2:$Z21,'DATASET 25%'!I2:I21)</f>
        <v>-0.56921858711599893</v>
      </c>
      <c r="J27" s="28">
        <f>CORREL('DATASET 25%'!$Z2:$Z21,'DATASET 25%'!J2:J21)</f>
        <v>9.7128586235726455E-2</v>
      </c>
      <c r="K27" s="28">
        <f>CORREL('DATASET 25%'!$Z2:$Z21,'DATASET 25%'!K2:K21)</f>
        <v>0.16499375183421316</v>
      </c>
      <c r="L27" s="28">
        <f>CORREL('DATASET 25%'!$Z2:$Z21,'DATASET 25%'!L2:L21)</f>
        <v>7.4363659922375328E-2</v>
      </c>
      <c r="M27" s="28">
        <f>CORREL('DATASET 25%'!$Z2:$Z21,'DATASET 25%'!M2:M21)</f>
        <v>-0.26480724350665391</v>
      </c>
      <c r="N27" s="28">
        <f>CORREL('DATASET 25%'!$Z2:$Z21,'DATASET 25%'!N2:N21)</f>
        <v>-0.25106099829261791</v>
      </c>
      <c r="O27" s="28">
        <f>CORREL('DATASET 25%'!$Z2:$Z21,'DATASET 25%'!O2:O21)</f>
        <v>0.46820527768067771</v>
      </c>
      <c r="P27" s="28">
        <f>CORREL('DATASET 25%'!$Z2:$Z21,'DATASET 25%'!P2:P21)</f>
        <v>-0.68599434057003539</v>
      </c>
      <c r="Q27" s="28">
        <f>CORREL('DATASET 25%'!$Z2:$Z21,'DATASET 25%'!Q2:Q21)</f>
        <v>5.6254395046301177E-2</v>
      </c>
      <c r="R27" s="28">
        <f>CORREL('DATASET 25%'!$Z2:$Z21,'DATASET 25%'!R2:R21)</f>
        <v>-0.19302200804786193</v>
      </c>
      <c r="S27" s="38">
        <f>CORREL('DATASET 25%'!$Z2:$Z21,'DATASET 25%'!S2:S21)</f>
        <v>-0.55803022879265285</v>
      </c>
      <c r="T27" s="28">
        <f>CORREL('DATASET 25%'!$Z2:$Z21,'DATASET 25%'!T2:T21)</f>
        <v>0.33560978616754999</v>
      </c>
      <c r="U27" s="28">
        <f>CORREL('DATASET 25%'!$Z2:$Z21,'DATASET 25%'!U2:U21)</f>
        <v>-0.10129762753928931</v>
      </c>
      <c r="V27" s="28">
        <f>CORREL('DATASET 25%'!$Z2:$Z21,'DATASET 25%'!V2:V21)</f>
        <v>-0.35355339059327384</v>
      </c>
      <c r="W27" s="28">
        <f>CORREL('DATASET 25%'!$Z2:$Z21,'DATASET 25%'!W2:W21)</f>
        <v>-9.0548776448046745E-17</v>
      </c>
      <c r="X27" s="28">
        <f>CORREL('DATASET 25%'!$Z2:$Z21,'DATASET 25%'!X2:X21)</f>
        <v>0.68153719917159039</v>
      </c>
      <c r="Y27" s="28">
        <f>CORREL('DATASET 25%'!$Z2:$Z21,'DATASET 25%'!Y2:Y21)</f>
        <v>0.4001577213088322</v>
      </c>
      <c r="Z27" s="28">
        <f>CORREL('DATASET 25%'!$Z2:$Z21,'DATASET 25%'!Z2:Z21)</f>
        <v>1.0000000000000002</v>
      </c>
      <c r="AA27" s="28">
        <f>CORREL('DATASET 25%'!$Z2:$Z21,'DATASET 25%'!AA2:AA21)</f>
        <v>0.17746819660511295</v>
      </c>
      <c r="AB27" s="28">
        <f>CORREL('DATASET 25%'!$Z2:$Z21,'DATASET 25%'!AB2:AB21)</f>
        <v>0.27327332256100195</v>
      </c>
      <c r="AC27" s="28">
        <f>CORREL('DATASET 25%'!$Z2:$Z21,'DATASET 25%'!AC2:AC21)</f>
        <v>-0.35675303400633779</v>
      </c>
      <c r="AD27" s="28">
        <f>CORREL('DATASET 25%'!$Z2:$Z21,'DATASET 25%'!AD2:AD21)</f>
        <v>-0.24019223070763068</v>
      </c>
      <c r="AE27" s="28">
        <f>CORREL('DATASET 25%'!$Z2:$Z21,'DATASET 25%'!AE2:AE21)</f>
        <v>-0.52931315286237068</v>
      </c>
      <c r="AF27" s="28">
        <f>CORREL('DATASET 25%'!$Z2:$Z21,'DATASET 25%'!AF2:AF21)</f>
        <v>-0.27247463045653297</v>
      </c>
      <c r="AG27" s="28">
        <f>CORREL('DATASET 25%'!$Z2:$Z21,'DATASET 25%'!AG2:AG21)</f>
        <v>0.16817034745516418</v>
      </c>
      <c r="AH27" s="28">
        <f>CORREL('DATASET 25%'!$Z2:$Z21,'DATASET 25%'!AH2:AH21)</f>
        <v>-0.1838036555234519</v>
      </c>
      <c r="AI27" s="28">
        <f>CORREL('DATASET 25%'!$Z2:$Z21,'DATASET 25%'!AI2:AI21)</f>
        <v>4.2553191489361715E-2</v>
      </c>
      <c r="AJ27" s="28">
        <f>CORREL('DATASET 25%'!$Z2:$Z21,'DATASET 25%'!AJ2:AJ21)</f>
        <v>0.24999999999999992</v>
      </c>
      <c r="AK27" s="28">
        <f>CORREL('DATASET 25%'!$Z2:$Z21,'DATASET 25%'!AK2:AK21)</f>
        <v>0.14822282480398427</v>
      </c>
      <c r="AL27" s="28">
        <f>CORREL('DATASET 25%'!$Z2:$Z21,'DATASET 25%'!AL2:AL21)</f>
        <v>-0.15018785229652767</v>
      </c>
      <c r="AM27" s="28">
        <f>CORREL('DATASET 25%'!$Z2:$Z21,'DATASET 25%'!AM2:AM21)</f>
        <v>0.1486596055499361</v>
      </c>
      <c r="AN27" s="28">
        <f>CORREL('DATASET 25%'!$Z2:$Z21,'DATASET 25%'!AN2:AN21)</f>
        <v>-0.22420780262065115</v>
      </c>
      <c r="AO27" s="28">
        <f>CORREL('DATASET 25%'!$Z2:$Z21,'DATASET 25%'!AO2:AO21)</f>
        <v>0.28867513459481287</v>
      </c>
      <c r="AP27" s="28">
        <f>CORREL('DATASET 25%'!$Z2:$Z21,'DATASET 25%'!AP2:AP21)</f>
        <v>-0.50768421562637311</v>
      </c>
      <c r="AQ27" s="28">
        <f>CORREL('DATASET 25%'!$Z2:$Z21,'DATASET 25%'!AQ2:AQ21)</f>
        <v>-3.5985080300429149E-2</v>
      </c>
      <c r="AR27" s="28">
        <f>CORREL('DATASET 25%'!$Z2:$Z21,'DATASET 25%'!AR2:AR21)</f>
        <v>-0.20830952244882409</v>
      </c>
      <c r="AS27" s="28">
        <f>CORREL('DATASET 25%'!$Z2:$Z21,'DATASET 25%'!AS2:AS21)</f>
        <v>-0.62103442793758268</v>
      </c>
      <c r="AT27" s="28">
        <f>CORREL('DATASET 25%'!$Z2:$Z21,'DATASET 25%'!AT2:AT21)</f>
        <v>0.58428294055350338</v>
      </c>
      <c r="AU27" s="28">
        <f>CORREL('DATASET 25%'!$Z2:$Z21,'DATASET 25%'!AU2:AU21)</f>
        <v>-6.3169794877270202E-2</v>
      </c>
      <c r="AV27" s="28">
        <f>CORREL('DATASET 25%'!$Z2:$Z21,'DATASET 25%'!AV2:AV21)</f>
        <v>0.29966148992990171</v>
      </c>
      <c r="AW27" s="28">
        <f>CORREL('DATASET 25%'!$Z2:$Z21,'DATASET 25%'!AW2:AW21)</f>
        <v>0.35575623676894264</v>
      </c>
      <c r="AX27" s="28">
        <f>CORREL('DATASET 25%'!$Z2:$Z21,'DATASET 25%'!AX2:AX21)</f>
        <v>-0.36297634195291317</v>
      </c>
      <c r="AY27" s="28">
        <f>CORREL('DATASET 25%'!$Z2:$Z21,'DATASET 25%'!AY2:AY21)</f>
        <v>0.11347803127252842</v>
      </c>
    </row>
    <row r="28" spans="1:51" ht="20" customHeight="1" x14ac:dyDescent="0.15">
      <c r="A28" s="30" t="s">
        <v>26</v>
      </c>
      <c r="B28" s="29">
        <f>CORREL('DATASET 25%'!$AA2:$AA21,'DATASET 25%'!B2:B21)</f>
        <v>-0.26297183864754764</v>
      </c>
      <c r="C28" s="28">
        <f>CORREL('DATASET 25%'!$AA2:$AA21,'DATASET 25%'!C2:C21)</f>
        <v>-0.25925925925925919</v>
      </c>
      <c r="D28" s="28">
        <f>CORREL('DATASET 25%'!$AA2:$AA21,'DATASET 25%'!D2:D21)</f>
        <v>0.52972573361865061</v>
      </c>
      <c r="E28" s="28">
        <f>CORREL('DATASET 25%'!$AA2:$AA21,'DATASET 25%'!E2:E21)</f>
        <v>0.33618469159823022</v>
      </c>
      <c r="F28" s="28">
        <f>CORREL('DATASET 25%'!$AA2:$AA21,'DATASET 25%'!F2:F21)</f>
        <v>-0.2550941809776513</v>
      </c>
      <c r="G28" s="28">
        <f>CORREL('DATASET 25%'!$AA2:$AA21,'DATASET 25%'!G2:G21)</f>
        <v>-8.2199493652678646E-2</v>
      </c>
      <c r="H28" s="28">
        <f>CORREL('DATASET 25%'!$AA2:$AA21,'DATASET 25%'!H2:H21)</f>
        <v>0.1756651500364235</v>
      </c>
      <c r="I28" s="42">
        <f>CORREL('DATASET 25%'!$AA2:$AA21,'DATASET 25%'!I2:I21)</f>
        <v>-0.1019135568926969</v>
      </c>
      <c r="J28" s="28">
        <f>CORREL('DATASET 25%'!$AA2:$AA21,'DATASET 25%'!J2:J21)</f>
        <v>0.32667258202275046</v>
      </c>
      <c r="K28" s="28">
        <f>CORREL('DATASET 25%'!$AA2:$AA21,'DATASET 25%'!K2:K21)</f>
        <v>-0.67194123011049711</v>
      </c>
      <c r="L28" s="28">
        <f>CORREL('DATASET 25%'!$AA2:$AA21,'DATASET 25%'!L2:L21)</f>
        <v>0.29362732978667705</v>
      </c>
      <c r="M28" s="28">
        <f>CORREL('DATASET 25%'!$AA2:$AA21,'DATASET 25%'!M2:M21)</f>
        <v>0.50699672130401641</v>
      </c>
      <c r="N28" s="28">
        <f>CORREL('DATASET 25%'!$AA2:$AA21,'DATASET 25%'!N2:N21)</f>
        <v>0.31722063428725772</v>
      </c>
      <c r="O28" s="28">
        <f>CORREL('DATASET 25%'!$AA2:$AA21,'DATASET 25%'!O2:O21)</f>
        <v>-0.12000000000000001</v>
      </c>
      <c r="P28" s="28">
        <f>CORREL('DATASET 25%'!$AA2:$AA21,'DATASET 25%'!P2:P21)</f>
        <v>-9.0610047036593713E-2</v>
      </c>
      <c r="Q28" s="28">
        <f>CORREL('DATASET 25%'!$AA2:$AA21,'DATASET 25%'!Q2:Q21)</f>
        <v>-3.1068488300060051E-2</v>
      </c>
      <c r="R28" s="28">
        <f>CORREL('DATASET 25%'!$AA2:$AA21,'DATASET 25%'!R2:R21)</f>
        <v>0.22295201801997952</v>
      </c>
      <c r="S28" s="38">
        <f>CORREL('DATASET 25%'!$AA2:$AA21,'DATASET 25%'!S2:S21)</f>
        <v>0.55112141426307948</v>
      </c>
      <c r="T28" s="28">
        <f>CORREL('DATASET 25%'!$AA2:$AA21,'DATASET 25%'!T2:T21)</f>
        <v>7.4219098460377345E-2</v>
      </c>
      <c r="U28" s="28">
        <f>CORREL('DATASET 25%'!$AA2:$AA21,'DATASET 25%'!U2:U21)</f>
        <v>9.2910575142158933E-2</v>
      </c>
      <c r="V28" s="28">
        <f>CORREL('DATASET 25%'!$AA2:$AA21,'DATASET 25%'!V2:V21)</f>
        <v>0.34587016093369349</v>
      </c>
      <c r="W28" s="28">
        <f>CORREL('DATASET 25%'!$AA2:$AA21,'DATASET 25%'!W2:W21)</f>
        <v>0.3199881655878109</v>
      </c>
      <c r="X28" s="28">
        <f>CORREL('DATASET 25%'!$AA2:$AA21,'DATASET 25%'!X2:X21)</f>
        <v>0.11615534207286168</v>
      </c>
      <c r="Y28" s="28">
        <f>CORREL('DATASET 25%'!$AA2:$AA21,'DATASET 25%'!Y2:Y21)</f>
        <v>-0.21657404091210497</v>
      </c>
      <c r="Z28" s="28">
        <f>CORREL('DATASET 25%'!$AA2:$AA21,'DATASET 25%'!Z2:Z21)</f>
        <v>0.17746819660511295</v>
      </c>
      <c r="AA28" s="28">
        <f>CORREL('DATASET 25%'!$AA2:$AA21,'DATASET 25%'!AA2:AA21)</f>
        <v>1</v>
      </c>
      <c r="AB28" s="28">
        <f>CORREL('DATASET 25%'!$AA2:$AA21,'DATASET 25%'!AB2:AB21)</f>
        <v>-9.3521952958282445E-2</v>
      </c>
      <c r="AC28" s="28">
        <f>CORREL('DATASET 25%'!$AA2:$AA21,'DATASET 25%'!AC2:AC21)</f>
        <v>-0.42618452124563977</v>
      </c>
      <c r="AD28" s="28">
        <f>CORREL('DATASET 25%'!$AA2:$AA21,'DATASET 25%'!AD2:AD21)</f>
        <v>0.26205204032923524</v>
      </c>
      <c r="AE28" s="28">
        <f>CORREL('DATASET 25%'!$AA2:$AA21,'DATASET 25%'!AE2:AE21)</f>
        <v>0.22215518961695277</v>
      </c>
      <c r="AF28" s="28">
        <f>CORREL('DATASET 25%'!$AA2:$AA21,'DATASET 25%'!AF2:AF21)</f>
        <v>0.20046884346862001</v>
      </c>
      <c r="AG28" s="28">
        <f>CORREL('DATASET 25%'!$AA2:$AA21,'DATASET 25%'!AG2:AG21)</f>
        <v>-0.15861031714362883</v>
      </c>
      <c r="AH28" s="28">
        <f>CORREL('DATASET 25%'!$AA2:$AA21,'DATASET 25%'!AH2:AH21)</f>
        <v>-9.6730166681334939E-2</v>
      </c>
      <c r="AI28" s="28">
        <f>CORREL('DATASET 25%'!$AA2:$AA21,'DATASET 25%'!AI2:AI21)</f>
        <v>4.1239304942116119E-2</v>
      </c>
      <c r="AJ28" s="28">
        <f>CORREL('DATASET 25%'!$AA2:$AA21,'DATASET 25%'!AJ2:AJ21)</f>
        <v>-0.57374509911449945</v>
      </c>
      <c r="AK28" s="28">
        <f>CORREL('DATASET 25%'!$AA2:$AA21,'DATASET 25%'!AK2:AK21)</f>
        <v>0.17412651986008645</v>
      </c>
      <c r="AL28" s="28">
        <f>CORREL('DATASET 25%'!$AA2:$AA21,'DATASET 25%'!AL2:AL21)</f>
        <v>-0.18811881188118817</v>
      </c>
      <c r="AM28" s="28">
        <f>CORREL('DATASET 25%'!$AA2:$AA21,'DATASET 25%'!AM2:AM21)</f>
        <v>0.23939494881986911</v>
      </c>
      <c r="AN28" s="28">
        <f>CORREL('DATASET 25%'!$AA2:$AA21,'DATASET 25%'!AN2:AN21)</f>
        <v>-0.1478316761614675</v>
      </c>
      <c r="AO28" s="28">
        <f>CORREL('DATASET 25%'!$AA2:$AA21,'DATASET 25%'!AO2:AO21)</f>
        <v>0</v>
      </c>
      <c r="AP28" s="28">
        <f>CORREL('DATASET 25%'!$AA2:$AA21,'DATASET 25%'!AP2:AP21)</f>
        <v>3.3210558207753517E-2</v>
      </c>
      <c r="AQ28" s="28">
        <f>CORREL('DATASET 25%'!$AA2:$AA21,'DATASET 25%'!AQ2:AQ21)</f>
        <v>-0.11298653657320641</v>
      </c>
      <c r="AR28" s="28">
        <f>CORREL('DATASET 25%'!$AA2:$AA21,'DATASET 25%'!AR2:AR21)</f>
        <v>0.25279502654084601</v>
      </c>
      <c r="AS28" s="28">
        <f>CORREL('DATASET 25%'!$AA2:$AA21,'DATASET 25%'!AS2:AS21)</f>
        <v>-0.10872134550890707</v>
      </c>
      <c r="AT28" s="28">
        <f>CORREL('DATASET 25%'!$AA2:$AA21,'DATASET 25%'!AT2:AT21)</f>
        <v>-4.9124319023546935E-2</v>
      </c>
      <c r="AU28" s="28">
        <f>CORREL('DATASET 25%'!$AA2:$AA21,'DATASET 25%'!AU2:AU21)</f>
        <v>-0.31586157135224158</v>
      </c>
      <c r="AV28" s="28">
        <f>CORREL('DATASET 25%'!$AA2:$AA21,'DATASET 25%'!AV2:AV21)</f>
        <v>0.47977289597136402</v>
      </c>
      <c r="AW28" s="28">
        <f>CORREL('DATASET 25%'!$AA2:$AA21,'DATASET 25%'!AW2:AW21)</f>
        <v>8.4464159220144896E-3</v>
      </c>
      <c r="AX28" s="28">
        <f>CORREL('DATASET 25%'!$AA2:$AA21,'DATASET 25%'!AX2:AX21)</f>
        <v>9.4475498594666044E-2</v>
      </c>
      <c r="AY28" s="28">
        <f>CORREL('DATASET 25%'!$AA2:$AA21,'DATASET 25%'!AY2:AY21)</f>
        <v>0.24056261216234401</v>
      </c>
    </row>
    <row r="29" spans="1:51" ht="20" customHeight="1" x14ac:dyDescent="0.15">
      <c r="A29" s="30" t="s">
        <v>27</v>
      </c>
      <c r="B29" s="29">
        <f>CORREL('DATASET 25%'!$AB2:$AB21,'DATASET 25%'!B2:B21)</f>
        <v>0.72536057184249625</v>
      </c>
      <c r="C29" s="28">
        <f>CORREL('DATASET 25%'!$AB2:$AB21,'DATASET 25%'!C2:C21)</f>
        <v>0.22581246709277497</v>
      </c>
      <c r="D29" s="28">
        <f>CORREL('DATASET 25%'!$AB2:$AB21,'DATASET 25%'!D2:D21)</f>
        <v>-0.29318995718002555</v>
      </c>
      <c r="E29" s="28">
        <f>CORREL('DATASET 25%'!$AB2:$AB21,'DATASET 25%'!E2:E21)</f>
        <v>0.57123526988331497</v>
      </c>
      <c r="F29" s="28">
        <f>CORREL('DATASET 25%'!$AB2:$AB21,'DATASET 25%'!F2:F21)</f>
        <v>0.7860450553405286</v>
      </c>
      <c r="G29" s="28">
        <f>CORREL('DATASET 25%'!$AB2:$AB21,'DATASET 25%'!G2:G21)</f>
        <v>0.29335264937005484</v>
      </c>
      <c r="H29" s="28">
        <f>CORREL('DATASET 25%'!$AB2:$AB21,'DATASET 25%'!H2:H21)</f>
        <v>-0.58152669939369794</v>
      </c>
      <c r="I29" s="42">
        <f>CORREL('DATASET 25%'!$AB2:$AB21,'DATASET 25%'!I2:I21)</f>
        <v>-0.38367212705025733</v>
      </c>
      <c r="J29" s="28">
        <f>CORREL('DATASET 25%'!$AB2:$AB21,'DATASET 25%'!J2:J21)</f>
        <v>-0.67331880187265225</v>
      </c>
      <c r="K29" s="28">
        <f>CORREL('DATASET 25%'!$AB2:$AB21,'DATASET 25%'!K2:K21)</f>
        <v>0.15554275420956382</v>
      </c>
      <c r="L29" s="28">
        <f>CORREL('DATASET 25%'!$AB2:$AB21,'DATASET 25%'!L2:L21)</f>
        <v>-0.77324858207016733</v>
      </c>
      <c r="M29" s="28">
        <f>CORREL('DATASET 25%'!$AB2:$AB21,'DATASET 25%'!M2:M21)</f>
        <v>-0.45238095238095238</v>
      </c>
      <c r="N29" s="28">
        <f>CORREL('DATASET 25%'!$AB2:$AB21,'DATASET 25%'!N2:N21)</f>
        <v>-0.44696841258925935</v>
      </c>
      <c r="O29" s="28">
        <f>CORREL('DATASET 25%'!$AB2:$AB21,'DATASET 25%'!O2:O21)</f>
        <v>0.83864091485617154</v>
      </c>
      <c r="P29" s="28">
        <f>CORREL('DATASET 25%'!$AB2:$AB21,'DATASET 25%'!P2:P21)</f>
        <v>-0.96874999999999989</v>
      </c>
      <c r="Q29" s="28">
        <f>CORREL('DATASET 25%'!$AB2:$AB21,'DATASET 25%'!Q2:Q21)</f>
        <v>-7.5691258852437299E-2</v>
      </c>
      <c r="R29" s="28">
        <f>CORREL('DATASET 25%'!$AB2:$AB21,'DATASET 25%'!R2:R21)</f>
        <v>-0.35714285714285721</v>
      </c>
      <c r="S29" s="38">
        <f>CORREL('DATASET 25%'!$AB2:$AB21,'DATASET 25%'!S2:S21)</f>
        <v>-0.50425824635013006</v>
      </c>
      <c r="T29" s="28">
        <f>CORREL('DATASET 25%'!$AB2:$AB21,'DATASET 25%'!T2:T21)</f>
        <v>0.71417580075588505</v>
      </c>
      <c r="U29" s="28">
        <f>CORREL('DATASET 25%'!$AB2:$AB21,'DATASET 25%'!U2:U21)</f>
        <v>-0.40591704985499727</v>
      </c>
      <c r="V29" s="28">
        <f>CORREL('DATASET 25%'!$AB2:$AB21,'DATASET 25%'!V2:V21)</f>
        <v>-0.73029674334022154</v>
      </c>
      <c r="W29" s="28">
        <f>CORREL('DATASET 25%'!$AB2:$AB21,'DATASET 25%'!W2:W21)</f>
        <v>-0.54396841759817471</v>
      </c>
      <c r="X29" s="28">
        <f>CORREL('DATASET 25%'!$AB2:$AB21,'DATASET 25%'!X2:X21)</f>
        <v>0.5145300101567154</v>
      </c>
      <c r="Y29" s="28">
        <f>CORREL('DATASET 25%'!$AB2:$AB21,'DATASET 25%'!Y2:Y21)</f>
        <v>0.65505006631028828</v>
      </c>
      <c r="Z29" s="28">
        <f>CORREL('DATASET 25%'!$AB2:$AB21,'DATASET 25%'!Z2:Z21)</f>
        <v>0.27327332256100195</v>
      </c>
      <c r="AA29" s="28">
        <f>CORREL('DATASET 25%'!$AB2:$AB21,'DATASET 25%'!AA2:AA21)</f>
        <v>-9.3521952958282445E-2</v>
      </c>
      <c r="AB29" s="28">
        <f>CORREL('DATASET 25%'!$AB2:$AB21,'DATASET 25%'!AB2:AB21)</f>
        <v>1</v>
      </c>
      <c r="AC29" s="28">
        <f>CORREL('DATASET 25%'!$AB2:$AB21,'DATASET 25%'!AC2:AC21)</f>
        <v>0.16122923187750418</v>
      </c>
      <c r="AD29" s="28">
        <f>CORREL('DATASET 25%'!$AB2:$AB21,'DATASET 25%'!AD2:AD21)</f>
        <v>-0.56447094786214835</v>
      </c>
      <c r="AE29" s="28">
        <f>CORREL('DATASET 25%'!$AB2:$AB21,'DATASET 25%'!AE2:AE21)</f>
        <v>-0.58387420812114199</v>
      </c>
      <c r="AF29" s="28">
        <f>CORREL('DATASET 25%'!$AB2:$AB21,'DATASET 25%'!AF2:AF21)</f>
        <v>-0.71097366291019837</v>
      </c>
      <c r="AG29" s="28">
        <f>CORREL('DATASET 25%'!$AB2:$AB21,'DATASET 25%'!AG2:AG21)</f>
        <v>0.74438122080257285</v>
      </c>
      <c r="AH29" s="28">
        <f>CORREL('DATASET 25%'!$AB2:$AB21,'DATASET 25%'!AH2:AH21)</f>
        <v>0.72991702608628461</v>
      </c>
      <c r="AI29" s="28">
        <f>CORREL('DATASET 25%'!$AB2:$AB21,'DATASET 25%'!AI2:AI21)</f>
        <v>-0.43554052664624454</v>
      </c>
      <c r="AJ29" s="28">
        <f>CORREL('DATASET 25%'!$AB2:$AB21,'DATASET 25%'!AJ2:AJ21)</f>
        <v>0.66577138248976375</v>
      </c>
      <c r="AK29" s="28">
        <f>CORREL('DATASET 25%'!$AB2:$AB21,'DATASET 25%'!AK2:AK21)</f>
        <v>0.20835594262672386</v>
      </c>
      <c r="AL29" s="28">
        <f>CORREL('DATASET 25%'!$AB2:$AB21,'DATASET 25%'!AL2:AL21)</f>
        <v>0.50917507721731559</v>
      </c>
      <c r="AM29" s="28">
        <f>CORREL('DATASET 25%'!$AB2:$AB21,'DATASET 25%'!AM2:AM21)</f>
        <v>0.60159309938555239</v>
      </c>
      <c r="AN29" s="28">
        <f>CORREL('DATASET 25%'!$AB2:$AB21,'DATASET 25%'!AN2:AN21)</f>
        <v>0.70258793591429369</v>
      </c>
      <c r="AO29" s="28">
        <f>CORREL('DATASET 25%'!$AB2:$AB21,'DATASET 25%'!AO2:AO21)</f>
        <v>-0.21259760138109357</v>
      </c>
      <c r="AP29" s="28">
        <f>CORREL('DATASET 25%'!$AB2:$AB21,'DATASET 25%'!AP2:AP21)</f>
        <v>-0.52546190807281812</v>
      </c>
      <c r="AQ29" s="28">
        <f>CORREL('DATASET 25%'!$AB2:$AB21,'DATASET 25%'!AQ2:AQ21)</f>
        <v>-0.1831858263618279</v>
      </c>
      <c r="AR29" s="28">
        <f>CORREL('DATASET 25%'!$AB2:$AB21,'DATASET 25%'!AR2:AR21)</f>
        <v>0.17456413381883576</v>
      </c>
      <c r="AS29" s="28">
        <f>CORREL('DATASET 25%'!$AB2:$AB21,'DATASET 25%'!AS2:AS21)</f>
        <v>-0.6118014998909509</v>
      </c>
      <c r="AT29" s="28">
        <f>CORREL('DATASET 25%'!$AB2:$AB21,'DATASET 25%'!AT2:AT21)</f>
        <v>0.63913749070614201</v>
      </c>
      <c r="AU29" s="28">
        <f>CORREL('DATASET 25%'!$AB2:$AB21,'DATASET 25%'!AU2:AU21)</f>
        <v>0.53532633450650868</v>
      </c>
      <c r="AV29" s="28">
        <f>CORREL('DATASET 25%'!$AB2:$AB21,'DATASET 25%'!AV2:AV21)</f>
        <v>-0.29568850838182914</v>
      </c>
      <c r="AW29" s="28">
        <f>CORREL('DATASET 25%'!$AB2:$AB21,'DATASET 25%'!AW2:AW21)</f>
        <v>0.61971906872221638</v>
      </c>
      <c r="AX29" s="28">
        <f>CORREL('DATASET 25%'!$AB2:$AB21,'DATASET 25%'!AX2:AX21)</f>
        <v>-0.35964518652996702</v>
      </c>
      <c r="AY29" s="28">
        <f>CORREL('DATASET 25%'!$AB2:$AB21,'DATASET 25%'!AY2:AY21)</f>
        <v>-0.18447879034312925</v>
      </c>
    </row>
    <row r="30" spans="1:51" ht="20" customHeight="1" x14ac:dyDescent="0.15">
      <c r="A30" s="30" t="s">
        <v>28</v>
      </c>
      <c r="B30" s="29">
        <f>CORREL('DATASET 25%'!$AC2:$AC21,'DATASET 25%'!B2:B21)</f>
        <v>0.25361874927309169</v>
      </c>
      <c r="C30" s="28">
        <f>CORREL('DATASET 25%'!$AC2:$AC21,'DATASET 25%'!C2:C21)</f>
        <v>-0.32510161013223099</v>
      </c>
      <c r="D30" s="28">
        <f>CORREL('DATASET 25%'!$AC2:$AC21,'DATASET 25%'!D2:D21)</f>
        <v>-0.38145728823951192</v>
      </c>
      <c r="E30" s="28">
        <f>CORREL('DATASET 25%'!$AC2:$AC21,'DATASET 25%'!E2:E21)</f>
        <v>-1.1135885079684422E-2</v>
      </c>
      <c r="F30" s="28">
        <f>CORREL('DATASET 25%'!$AC2:$AC21,'DATASET 25%'!F2:F21)</f>
        <v>0.3065833099137758</v>
      </c>
      <c r="G30" s="28">
        <f>CORREL('DATASET 25%'!$AC2:$AC21,'DATASET 25%'!G2:G21)</f>
        <v>0.49606880168847706</v>
      </c>
      <c r="H30" s="28">
        <f>CORREL('DATASET 25%'!$AC2:$AC21,'DATASET 25%'!H2:H21)</f>
        <v>-0.22415642610331885</v>
      </c>
      <c r="I30" s="42">
        <f>CORREL('DATASET 25%'!$AC2:$AC21,'DATASET 25%'!I2:I21)</f>
        <v>-0.38311227166041084</v>
      </c>
      <c r="J30" s="28">
        <f>CORREL('DATASET 25%'!$AC2:$AC21,'DATASET 25%'!J2:J21)</f>
        <v>-0.1005037815259212</v>
      </c>
      <c r="K30" s="28">
        <f>CORREL('DATASET 25%'!$AC2:$AC21,'DATASET 25%'!K2:K21)</f>
        <v>0.45899879624226997</v>
      </c>
      <c r="L30" s="28">
        <f>CORREL('DATASET 25%'!$AC2:$AC21,'DATASET 25%'!L2:L21)</f>
        <v>-0.37933540414415484</v>
      </c>
      <c r="M30" s="28">
        <f>CORREL('DATASET 25%'!$AC2:$AC21,'DATASET 25%'!M2:M21)</f>
        <v>-0.4231278238823159</v>
      </c>
      <c r="N30" s="28">
        <f>CORREL('DATASET 25%'!$AC2:$AC21,'DATASET 25%'!N2:N21)</f>
        <v>0.27452198243597858</v>
      </c>
      <c r="O30" s="28">
        <f>CORREL('DATASET 25%'!$AC2:$AC21,'DATASET 25%'!O2:O21)</f>
        <v>0.26901379342448523</v>
      </c>
      <c r="P30" s="28">
        <f>CORREL('DATASET 25%'!$AC2:$AC21,'DATASET 25%'!P2:P21)</f>
        <v>-0.10072787050317257</v>
      </c>
      <c r="Q30" s="28">
        <f>CORREL('DATASET 25%'!$AC2:$AC21,'DATASET 25%'!Q2:Q21)</f>
        <v>0.50000000000000011</v>
      </c>
      <c r="R30" s="28">
        <f>CORREL('DATASET 25%'!$AC2:$AC21,'DATASET 25%'!R2:R21)</f>
        <v>0.11271279531923217</v>
      </c>
      <c r="S30" s="38">
        <f>CORREL('DATASET 25%'!$AC2:$AC21,'DATASET 25%'!S2:S21)</f>
        <v>-0.38745651242379164</v>
      </c>
      <c r="T30" s="28">
        <f>CORREL('DATASET 25%'!$AC2:$AC21,'DATASET 25%'!T2:T21)</f>
        <v>0.32030331520146466</v>
      </c>
      <c r="U30" s="28">
        <f>CORREL('DATASET 25%'!$AC2:$AC21,'DATASET 25%'!U2:U21)</f>
        <v>-0.16337903272248039</v>
      </c>
      <c r="V30" s="28">
        <f>CORREL('DATASET 25%'!$AC2:$AC21,'DATASET 25%'!V2:V21)</f>
        <v>-0.35754847096709702</v>
      </c>
      <c r="W30" s="28">
        <f>CORREL('DATASET 25%'!$AC2:$AC21,'DATASET 25%'!W2:W21)</f>
        <v>-0.24707933901423645</v>
      </c>
      <c r="X30" s="28">
        <f>CORREL('DATASET 25%'!$AC2:$AC21,'DATASET 25%'!X2:X21)</f>
        <v>0.3782848498186116</v>
      </c>
      <c r="Y30" s="28">
        <f>CORREL('DATASET 25%'!$AC2:$AC21,'DATASET 25%'!Y2:Y21)</f>
        <v>0.47709353720548681</v>
      </c>
      <c r="Z30" s="28">
        <f>CORREL('DATASET 25%'!$AC2:$AC21,'DATASET 25%'!Z2:Z21)</f>
        <v>-0.35675303400633779</v>
      </c>
      <c r="AA30" s="28">
        <f>CORREL('DATASET 25%'!$AC2:$AC21,'DATASET 25%'!AA2:AA21)</f>
        <v>-0.42618452124563977</v>
      </c>
      <c r="AB30" s="28">
        <f>CORREL('DATASET 25%'!$AC2:$AC21,'DATASET 25%'!AB2:AB21)</f>
        <v>0.16122923187750418</v>
      </c>
      <c r="AC30" s="28">
        <f>CORREL('DATASET 25%'!$AC2:$AC21,'DATASET 25%'!AC2:AC21)</f>
        <v>1</v>
      </c>
      <c r="AD30" s="28">
        <f>CORREL('DATASET 25%'!$AC2:$AC21,'DATASET 25%'!AD2:AD21)</f>
        <v>-0.44847744124551292</v>
      </c>
      <c r="AE30" s="28">
        <f>CORREL('DATASET 25%'!$AC2:$AC21,'DATASET 25%'!AE2:AE21)</f>
        <v>0.30066889715147743</v>
      </c>
      <c r="AF30" s="28">
        <f>CORREL('DATASET 25%'!$AC2:$AC21,'DATASET 25%'!AF2:AF21)</f>
        <v>-4.9286405809014409E-2</v>
      </c>
      <c r="AG30" s="28">
        <f>CORREL('DATASET 25%'!$AC2:$AC21,'DATASET 25%'!AG2:AG21)</f>
        <v>0.57054433073454802</v>
      </c>
      <c r="AH30" s="28">
        <f>CORREL('DATASET 25%'!$AC2:$AC21,'DATASET 25%'!AH2:AH21)</f>
        <v>0.66900191279400234</v>
      </c>
      <c r="AI30" s="28">
        <f>CORREL('DATASET 25%'!$AC2:$AC21,'DATASET 25%'!AI2:AI21)</f>
        <v>0.61920614666924001</v>
      </c>
      <c r="AJ30" s="28">
        <f>CORREL('DATASET 25%'!$AC2:$AC21,'DATASET 25%'!AJ2:AJ21)</f>
        <v>0.11887150534341145</v>
      </c>
      <c r="AK30" s="28">
        <f>CORREL('DATASET 25%'!$AC2:$AC21,'DATASET 25%'!AK2:AK21)</f>
        <v>-0.13406661108997397</v>
      </c>
      <c r="AL30" s="28">
        <f>CORREL('DATASET 25%'!$AC2:$AC21,'DATASET 25%'!AL2:AL21)</f>
        <v>0.13428793245291837</v>
      </c>
      <c r="AM30" s="28">
        <f>CORREL('DATASET 25%'!$AC2:$AC21,'DATASET 25%'!AM2:AM21)</f>
        <v>0.25677248039750661</v>
      </c>
      <c r="AN30" s="28">
        <f>CORREL('DATASET 25%'!$AC2:$AC21,'DATASET 25%'!AN2:AN21)</f>
        <v>7.4905948892156307E-2</v>
      </c>
      <c r="AO30" s="28">
        <f>CORREL('DATASET 25%'!$AC2:$AC21,'DATASET 25%'!AO2:AO21)</f>
        <v>-0.71784253607755411</v>
      </c>
      <c r="AP30" s="28">
        <f>CORREL('DATASET 25%'!$AC2:$AC21,'DATASET 25%'!AP2:AP21)</f>
        <v>-0.24908935717592548</v>
      </c>
      <c r="AQ30" s="28">
        <f>CORREL('DATASET 25%'!$AC2:$AC21,'DATASET 25%'!AQ2:AQ21)</f>
        <v>0.21968621277986811</v>
      </c>
      <c r="AR30" s="28">
        <f>CORREL('DATASET 25%'!$AC2:$AC21,'DATASET 25%'!AR2:AR21)</f>
        <v>-0.27286371951943139</v>
      </c>
      <c r="AS30" s="28">
        <f>CORREL('DATASET 25%'!$AC2:$AC21,'DATASET 25%'!AS2:AS21)</f>
        <v>0.3364632924552266</v>
      </c>
      <c r="AT30" s="28">
        <f>CORREL('DATASET 25%'!$AC2:$AC21,'DATASET 25%'!AT2:AT21)</f>
        <v>-6.2439054105446264E-2</v>
      </c>
      <c r="AU30" s="28">
        <f>CORREL('DATASET 25%'!$AC2:$AC21,'DATASET 25%'!AU2:AU21)</f>
        <v>-0.17930534306551252</v>
      </c>
      <c r="AV30" s="28">
        <f>CORREL('DATASET 25%'!$AC2:$AC21,'DATASET 25%'!AV2:AV21)</f>
        <v>-0.14364860122855577</v>
      </c>
      <c r="AW30" s="28">
        <f>CORREL('DATASET 25%'!$AC2:$AC21,'DATASET 25%'!AW2:AW21)</f>
        <v>9.2213889195414706E-2</v>
      </c>
      <c r="AX30" s="28">
        <f>CORREL('DATASET 25%'!$AC2:$AC21,'DATASET 25%'!AX2:AX21)</f>
        <v>1.6484511834894633E-2</v>
      </c>
      <c r="AY30" s="28">
        <f>CORREL('DATASET 25%'!$AC2:$AC21,'DATASET 25%'!AY2:AY21)</f>
        <v>-0.62333478605530113</v>
      </c>
    </row>
    <row r="31" spans="1:51" ht="20" customHeight="1" x14ac:dyDescent="0.15">
      <c r="A31" s="30" t="s">
        <v>29</v>
      </c>
      <c r="B31" s="29">
        <f>CORREL('DATASET 25%'!$AD2:$AD21,'DATASET 25%'!B2:B21)</f>
        <v>-0.31252705510589024</v>
      </c>
      <c r="C31" s="28">
        <f>CORREL('DATASET 25%'!$AD2:$AD21,'DATASET 25%'!C2:C21)</f>
        <v>3.4539847429387809E-2</v>
      </c>
      <c r="D31" s="28">
        <f>CORREL('DATASET 25%'!$AD2:$AD21,'DATASET 25%'!D2:D21)</f>
        <v>0</v>
      </c>
      <c r="E31" s="28">
        <f>CORREL('DATASET 25%'!$AD2:$AD21,'DATASET 25%'!E2:E21)</f>
        <v>-0.44582257006028225</v>
      </c>
      <c r="F31" s="28">
        <f>CORREL('DATASET 25%'!$AD2:$AD21,'DATASET 25%'!F2:F21)</f>
        <v>-0.19026059766179762</v>
      </c>
      <c r="G31" s="28">
        <f>CORREL('DATASET 25%'!$AD2:$AD21,'DATASET 25%'!G2:G21)</f>
        <v>-0.25283777534076951</v>
      </c>
      <c r="H31" s="28">
        <f>CORREL('DATASET 25%'!$AD2:$AD21,'DATASET 25%'!H2:H21)</f>
        <v>0.31684721375253588</v>
      </c>
      <c r="I31" s="42">
        <f>CORREL('DATASET 25%'!$AD2:$AD21,'DATASET 25%'!I2:I21)</f>
        <v>0.76641918946731746</v>
      </c>
      <c r="J31" s="28">
        <f>CORREL('DATASET 25%'!$AD2:$AD21,'DATASET 25%'!J2:J21)</f>
        <v>0.47629593518044616</v>
      </c>
      <c r="K31" s="28">
        <f>CORREL('DATASET 25%'!$AD2:$AD21,'DATASET 25%'!K2:K21)</f>
        <v>-0.49182038455901617</v>
      </c>
      <c r="L31" s="28">
        <f>CORREL('DATASET 25%'!$AD2:$AD21,'DATASET 25%'!L2:L21)</f>
        <v>5.4923503638109036E-2</v>
      </c>
      <c r="M31" s="28">
        <f>CORREL('DATASET 25%'!$AD2:$AD21,'DATASET 25%'!M2:M21)</f>
        <v>0.60206639172339349</v>
      </c>
      <c r="N31" s="28">
        <f>CORREL('DATASET 25%'!$AD2:$AD21,'DATASET 25%'!N2:N21)</f>
        <v>-0.22742941307367101</v>
      </c>
      <c r="O31" s="28">
        <f>CORREL('DATASET 25%'!$AD2:$AD21,'DATASET 25%'!O2:O21)</f>
        <v>-0.3272665152879915</v>
      </c>
      <c r="P31" s="28">
        <f>CORREL('DATASET 25%'!$AD2:$AD21,'DATASET 25%'!P2:P21)</f>
        <v>0.61810795992308454</v>
      </c>
      <c r="Q31" s="28">
        <f>CORREL('DATASET 25%'!$AD2:$AD21,'DATASET 25%'!Q2:Q21)</f>
        <v>-0.61913425168621539</v>
      </c>
      <c r="R31" s="28">
        <f>CORREL('DATASET 25%'!$AD2:$AD21,'DATASET 25%'!R2:R21)</f>
        <v>0.48473534472986368</v>
      </c>
      <c r="S31" s="38">
        <f>CORREL('DATASET 25%'!$AD2:$AD21,'DATASET 25%'!S2:S21)</f>
        <v>0.50062926754149639</v>
      </c>
      <c r="T31" s="28">
        <f>CORREL('DATASET 25%'!$AD2:$AD21,'DATASET 25%'!T2:T21)</f>
        <v>-0.37980707599885982</v>
      </c>
      <c r="U31" s="28">
        <f>CORREL('DATASET 25%'!$AD2:$AD21,'DATASET 25%'!U2:U21)</f>
        <v>0.75437193314800488</v>
      </c>
      <c r="V31" s="28">
        <f>CORREL('DATASET 25%'!$AD2:$AD21,'DATASET 25%'!V2:V21)</f>
        <v>0.50917507721731536</v>
      </c>
      <c r="W31" s="28">
        <f>CORREL('DATASET 25%'!$AD2:$AD21,'DATASET 25%'!W2:W21)</f>
        <v>0.25451390519031108</v>
      </c>
      <c r="X31" s="28">
        <f>CORREL('DATASET 25%'!$AD2:$AD21,'DATASET 25%'!X2:X21)</f>
        <v>-0.11555246348404065</v>
      </c>
      <c r="Y31" s="28">
        <f>CORREL('DATASET 25%'!$AD2:$AD21,'DATASET 25%'!Y2:Y21)</f>
        <v>-0.63738330950656985</v>
      </c>
      <c r="Z31" s="28">
        <f>CORREL('DATASET 25%'!$AD2:$AD21,'DATASET 25%'!Z2:Z21)</f>
        <v>-0.24019223070763068</v>
      </c>
      <c r="AA31" s="28">
        <f>CORREL('DATASET 25%'!$AD2:$AD21,'DATASET 25%'!AA2:AA21)</f>
        <v>0.26205204032923524</v>
      </c>
      <c r="AB31" s="28">
        <f>CORREL('DATASET 25%'!$AD2:$AD21,'DATASET 25%'!AB2:AB21)</f>
        <v>-0.56447094786214835</v>
      </c>
      <c r="AC31" s="28">
        <f>CORREL('DATASET 25%'!$AD2:$AD21,'DATASET 25%'!AC2:AC21)</f>
        <v>-0.44847744124551292</v>
      </c>
      <c r="AD31" s="28">
        <f>CORREL('DATASET 25%'!$AD2:$AD21,'DATASET 25%'!AD2:AD21)</f>
        <v>0.99999999999999989</v>
      </c>
      <c r="AE31" s="28">
        <f>CORREL('DATASET 25%'!$AD2:$AD21,'DATASET 25%'!AE2:AE21)</f>
        <v>0.15103505334581888</v>
      </c>
      <c r="AF31" s="28">
        <f>CORREL('DATASET 25%'!$AD2:$AD21,'DATASET 25%'!AF2:AF21)</f>
        <v>0.78676465874992618</v>
      </c>
      <c r="AG31" s="28">
        <f>CORREL('DATASET 25%'!$AD2:$AD21,'DATASET 25%'!AG2:AG21)</f>
        <v>-0.33368040070881994</v>
      </c>
      <c r="AH31" s="28">
        <f>CORREL('DATASET 25%'!$AD2:$AD21,'DATASET 25%'!AH2:AH21)</f>
        <v>-0.32581895732207761</v>
      </c>
      <c r="AI31" s="28">
        <f>CORREL('DATASET 25%'!$AD2:$AD21,'DATASET 25%'!AI2:AI21)</f>
        <v>-0.31711567137846791</v>
      </c>
      <c r="AJ31" s="28">
        <f>CORREL('DATASET 25%'!$AD2:$AD21,'DATASET 25%'!AJ2:AJ21)</f>
        <v>-0.13486547673978883</v>
      </c>
      <c r="AK31" s="28">
        <f>CORREL('DATASET 25%'!$AD2:$AD21,'DATASET 25%'!AK2:AK21)</f>
        <v>-8.5435765771676109E-2</v>
      </c>
      <c r="AL31" s="28">
        <f>CORREL('DATASET 25%'!$AD2:$AD21,'DATASET 25%'!AL2:AL21)</f>
        <v>-0.12817812584441657</v>
      </c>
      <c r="AM31" s="28">
        <f>CORREL('DATASET 25%'!$AD2:$AD21,'DATASET 25%'!AM2:AM21)</f>
        <v>-0.28306925853614895</v>
      </c>
      <c r="AN31" s="28">
        <f>CORREL('DATASET 25%'!$AD2:$AD21,'DATASET 25%'!AN2:AN21)</f>
        <v>-0.56674433695357807</v>
      </c>
      <c r="AO31" s="28">
        <f>CORREL('DATASET 25%'!$AD2:$AD21,'DATASET 25%'!AO2:AO21)</f>
        <v>0.50715051620848717</v>
      </c>
      <c r="AP31" s="28">
        <f>CORREL('DATASET 25%'!$AD2:$AD21,'DATASET 25%'!AP2:AP21)</f>
        <v>0.65456218690410073</v>
      </c>
      <c r="AQ31" s="28">
        <f>CORREL('DATASET 25%'!$AD2:$AD21,'DATASET 25%'!AQ2:AQ21)</f>
        <v>-0.49301257198088033</v>
      </c>
      <c r="AR31" s="28">
        <f>CORREL('DATASET 25%'!$AD2:$AD21,'DATASET 25%'!AR2:AR21)</f>
        <v>7.5955452531274975E-2</v>
      </c>
      <c r="AS31" s="28">
        <f>CORREL('DATASET 25%'!$AD2:$AD21,'DATASET 25%'!AS2:AS21)</f>
        <v>0.68908185882893558</v>
      </c>
      <c r="AT31" s="28">
        <f>CORREL('DATASET 25%'!$AD2:$AD21,'DATASET 25%'!AT2:AT21)</f>
        <v>9.766596761559293E-2</v>
      </c>
      <c r="AU31" s="28">
        <f>CORREL('DATASET 25%'!$AD2:$AD21,'DATASET 25%'!AU2:AU21)</f>
        <v>-0.21267143241840133</v>
      </c>
      <c r="AV31" s="28">
        <f>CORREL('DATASET 25%'!$AD2:$AD21,'DATASET 25%'!AV2:AV21)</f>
        <v>-8.7473512225224148E-2</v>
      </c>
      <c r="AW31" s="28">
        <f>CORREL('DATASET 25%'!$AD2:$AD21,'DATASET 25%'!AW2:AW21)</f>
        <v>-0.19481258303987195</v>
      </c>
      <c r="AX31" s="28">
        <f>CORREL('DATASET 25%'!$AD2:$AD21,'DATASET 25%'!AX2:AX21)</f>
        <v>0.64128498883160467</v>
      </c>
      <c r="AY31" s="28">
        <f>CORREL('DATASET 25%'!$AD2:$AD21,'DATASET 25%'!AY2:AY21)</f>
        <v>0.4416027575226314</v>
      </c>
    </row>
    <row r="32" spans="1:51" ht="20" customHeight="1" x14ac:dyDescent="0.15">
      <c r="A32" s="30" t="s">
        <v>30</v>
      </c>
      <c r="B32" s="29">
        <f>CORREL('DATASET 25%'!$AE2:$AE21,'DATASET 25%'!B2:B21)</f>
        <v>-0.65486725663716827</v>
      </c>
      <c r="C32" s="28">
        <f>CORREL('DATASET 25%'!$AE2:$AE21,'DATASET 25%'!C2:C21)</f>
        <v>-0.49858823247636891</v>
      </c>
      <c r="D32" s="28">
        <f>CORREL('DATASET 25%'!$AE2:$AE21,'DATASET 25%'!D2:D21)</f>
        <v>0.54088015314175864</v>
      </c>
      <c r="E32" s="28">
        <f>CORREL('DATASET 25%'!$AE2:$AE21,'DATASET 25%'!E2:E21)</f>
        <v>-0.58059806335559017</v>
      </c>
      <c r="F32" s="28">
        <f>CORREL('DATASET 25%'!$AE2:$AE21,'DATASET 25%'!F2:F21)</f>
        <v>-0.34347857005916338</v>
      </c>
      <c r="G32" s="28">
        <f>CORREL('DATASET 25%'!$AE2:$AE21,'DATASET 25%'!G2:G21)</f>
        <v>0.54072011393994623</v>
      </c>
      <c r="H32" s="28">
        <f>CORREL('DATASET 25%'!$AE2:$AE21,'DATASET 25%'!H2:H21)</f>
        <v>0.17159763313609469</v>
      </c>
      <c r="I32" s="42">
        <f>CORREL('DATASET 25%'!$AE2:$AE21,'DATASET 25%'!I2:I21)</f>
        <v>0.29904998630487029</v>
      </c>
      <c r="J32" s="28">
        <f>CORREL('DATASET 25%'!$AE2:$AE21,'DATASET 25%'!J2:J21)</f>
        <v>0.54525565999455483</v>
      </c>
      <c r="K32" s="28">
        <f>CORREL('DATASET 25%'!$AE2:$AE21,'DATASET 25%'!K2:K21)</f>
        <v>-0.15811388300841894</v>
      </c>
      <c r="L32" s="28">
        <f>CORREL('DATASET 25%'!$AE2:$AE21,'DATASET 25%'!L2:L21)</f>
        <v>0.31030383361897357</v>
      </c>
      <c r="M32" s="28">
        <f>CORREL('DATASET 25%'!$AE2:$AE21,'DATASET 25%'!M2:M21)</f>
        <v>0.49374193110101888</v>
      </c>
      <c r="N32" s="28">
        <f>CORREL('DATASET 25%'!$AE2:$AE21,'DATASET 25%'!N2:N21)</f>
        <v>0.60317460317460292</v>
      </c>
      <c r="O32" s="28">
        <f>CORREL('DATASET 25%'!$AE2:$AE21,'DATASET 25%'!O2:O21)</f>
        <v>-0.70028588933191116</v>
      </c>
      <c r="P32" s="28">
        <f>CORREL('DATASET 25%'!$AE2:$AE21,'DATASET 25%'!P2:P21)</f>
        <v>0.5503330835653103</v>
      </c>
      <c r="Q32" s="28">
        <f>CORREL('DATASET 25%'!$AE2:$AE21,'DATASET 25%'!Q2:Q21)</f>
        <v>0.16657109542957085</v>
      </c>
      <c r="R32" s="28">
        <f>CORREL('DATASET 25%'!$AE2:$AE21,'DATASET 25%'!R2:R21)</f>
        <v>0.80746899187492405</v>
      </c>
      <c r="S32" s="38">
        <f>CORREL('DATASET 25%'!$AE2:$AE21,'DATASET 25%'!S2:S21)</f>
        <v>0.73521462209380783</v>
      </c>
      <c r="T32" s="28">
        <f>CORREL('DATASET 25%'!$AE2:$AE21,'DATASET 25%'!T2:T21)</f>
        <v>-0.46139318163154719</v>
      </c>
      <c r="U32" s="28">
        <f>CORREL('DATASET 25%'!$AE2:$AE21,'DATASET 25%'!U2:U21)</f>
        <v>0.44910678975289448</v>
      </c>
      <c r="V32" s="28">
        <f>CORREL('DATASET 25%'!$AE2:$AE21,'DATASET 25%'!V2:V21)</f>
        <v>0.4375</v>
      </c>
      <c r="W32" s="28">
        <f>CORREL('DATASET 25%'!$AE2:$AE21,'DATASET 25%'!W2:W21)</f>
        <v>0.48462382158454093</v>
      </c>
      <c r="X32" s="28">
        <f>CORREL('DATASET 25%'!$AE2:$AE21,'DATASET 25%'!X2:X21)</f>
        <v>-0.67741941131290995</v>
      </c>
      <c r="Y32" s="28">
        <f>CORREL('DATASET 25%'!$AE2:$AE21,'DATASET 25%'!Y2:Y21)</f>
        <v>-0.71838111651923908</v>
      </c>
      <c r="Z32" s="28">
        <f>CORREL('DATASET 25%'!$AE2:$AE21,'DATASET 25%'!Z2:Z21)</f>
        <v>-0.52931315286237068</v>
      </c>
      <c r="AA32" s="28">
        <f>CORREL('DATASET 25%'!$AE2:$AE21,'DATASET 25%'!AA2:AA21)</f>
        <v>0.22215518961695277</v>
      </c>
      <c r="AB32" s="28">
        <f>CORREL('DATASET 25%'!$AE2:$AE21,'DATASET 25%'!AB2:AB21)</f>
        <v>-0.58387420812114199</v>
      </c>
      <c r="AC32" s="28">
        <f>CORREL('DATASET 25%'!$AE2:$AE21,'DATASET 25%'!AC2:AC21)</f>
        <v>0.30066889715147743</v>
      </c>
      <c r="AD32" s="28">
        <f>CORREL('DATASET 25%'!$AE2:$AE21,'DATASET 25%'!AD2:AD21)</f>
        <v>0.15103505334581888</v>
      </c>
      <c r="AE32" s="28">
        <f>CORREL('DATASET 25%'!$AE2:$AE21,'DATASET 25%'!AE2:AE21)</f>
        <v>1</v>
      </c>
      <c r="AF32" s="28">
        <f>CORREL('DATASET 25%'!$AE2:$AE21,'DATASET 25%'!AF2:AF21)</f>
        <v>0.15035280330977649</v>
      </c>
      <c r="AG32" s="28">
        <f>CORREL('DATASET 25%'!$AE2:$AE21,'DATASET 25%'!AG2:AG21)</f>
        <v>-0.59126431985615313</v>
      </c>
      <c r="AH32" s="28">
        <f>CORREL('DATASET 25%'!$AE2:$AE21,'DATASET 25%'!AH2:AH21)</f>
        <v>5.7335076346148449E-2</v>
      </c>
      <c r="AI32" s="28">
        <f>CORREL('DATASET 25%'!$AE2:$AE21,'DATASET 25%'!AI2:AI21)</f>
        <v>0.35046481759258774</v>
      </c>
      <c r="AJ32" s="28">
        <f>CORREL('DATASET 25%'!$AE2:$AE21,'DATASET 25%'!AJ2:AJ21)</f>
        <v>-0.28536770851664245</v>
      </c>
      <c r="AK32" s="28">
        <f>CORREL('DATASET 25%'!$AE2:$AE21,'DATASET 25%'!AK2:AK21)</f>
        <v>0.1861570814986496</v>
      </c>
      <c r="AL32" s="28">
        <f>CORREL('DATASET 25%'!$AE2:$AE21,'DATASET 25%'!AL2:AL21)</f>
        <v>0.13323701002475291</v>
      </c>
      <c r="AM32" s="28">
        <f>CORREL('DATASET 25%'!$AE2:$AE21,'DATASET 25%'!AM2:AM21)</f>
        <v>-0.57894308136956851</v>
      </c>
      <c r="AN32" s="28">
        <f>CORREL('DATASET 25%'!$AE2:$AE21,'DATASET 25%'!AN2:AN21)</f>
        <v>0</v>
      </c>
      <c r="AO32" s="28">
        <f>CORREL('DATASET 25%'!$AE2:$AE21,'DATASET 25%'!AO2:AO21)</f>
        <v>0.13589647625005566</v>
      </c>
      <c r="AP32" s="28">
        <f>CORREL('DATASET 25%'!$AE2:$AE21,'DATASET 25%'!AP2:AP21)</f>
        <v>0.55330028696917988</v>
      </c>
      <c r="AQ32" s="28">
        <f>CORREL('DATASET 25%'!$AE2:$AE21,'DATASET 25%'!AQ2:AQ21)</f>
        <v>0.1274249324192949</v>
      </c>
      <c r="AR32" s="28">
        <f>CORREL('DATASET 25%'!$AE2:$AE21,'DATASET 25%'!AR2:AR21)</f>
        <v>2.2097086912079573E-2</v>
      </c>
      <c r="AS32" s="28">
        <f>CORREL('DATASET 25%'!$AE2:$AE21,'DATASET 25%'!AS2:AS21)</f>
        <v>0.78072005835882663</v>
      </c>
      <c r="AT32" s="28">
        <f>CORREL('DATASET 25%'!$AE2:$AE21,'DATASET 25%'!AT2:AT21)</f>
        <v>-0.72087735615428838</v>
      </c>
      <c r="AU32" s="28">
        <f>CORREL('DATASET 25%'!$AE2:$AE21,'DATASET 25%'!AU2:AU21)</f>
        <v>1.8156825980064087E-2</v>
      </c>
      <c r="AV32" s="28">
        <f>CORREL('DATASET 25%'!$AE2:$AE21,'DATASET 25%'!AV2:AV21)</f>
        <v>0</v>
      </c>
      <c r="AW32" s="28">
        <f>CORREL('DATASET 25%'!$AE2:$AE21,'DATASET 25%'!AW2:AW21)</f>
        <v>-0.62269984907723908</v>
      </c>
      <c r="AX32" s="28">
        <f>CORREL('DATASET 25%'!$AE2:$AE21,'DATASET 25%'!AX2:AX21)</f>
        <v>0.77268740559607096</v>
      </c>
      <c r="AY32" s="28">
        <f>CORREL('DATASET 25%'!$AE2:$AE21,'DATASET 25%'!AY2:AY21)</f>
        <v>0.18376916754950673</v>
      </c>
    </row>
    <row r="33" spans="1:51" ht="20" customHeight="1" x14ac:dyDescent="0.15">
      <c r="A33" s="30" t="s">
        <v>31</v>
      </c>
      <c r="B33" s="29">
        <f>CORREL('DATASET 25%'!$AF2:$AF21,'DATASET 25%'!B2:B21)</f>
        <v>-0.60723270944657526</v>
      </c>
      <c r="C33" s="28">
        <f>CORREL('DATASET 25%'!$AF2:$AF21,'DATASET 25%'!C2:C21)</f>
        <v>-3.1915182574260341E-2</v>
      </c>
      <c r="D33" s="28">
        <f>CORREL('DATASET 25%'!$AF2:$AF21,'DATASET 25%'!D2:D21)</f>
        <v>-4.1502867831964538E-2</v>
      </c>
      <c r="E33" s="28">
        <f>CORREL('DATASET 25%'!$AF2:$AF21,'DATASET 25%'!E2:E21)</f>
        <v>-0.36738729994727931</v>
      </c>
      <c r="F33" s="28">
        <f>CORREL('DATASET 25%'!$AF2:$AF21,'DATASET 25%'!F2:F21)</f>
        <v>-0.59945802506864265</v>
      </c>
      <c r="G33" s="28">
        <f>CORREL('DATASET 25%'!$AF2:$AF21,'DATASET 25%'!G2:G21)</f>
        <v>-0.54792459702411067</v>
      </c>
      <c r="H33" s="28">
        <f>CORREL('DATASET 25%'!$AF2:$AF21,'DATASET 25%'!H2:H21)</f>
        <v>0.24019223070763066</v>
      </c>
      <c r="I33" s="42">
        <f>CORREL('DATASET 25%'!$AF2:$AF21,'DATASET 25%'!I2:I21)</f>
        <v>0.68449833324315645</v>
      </c>
      <c r="J33" s="28">
        <f>CORREL('DATASET 25%'!$AF2:$AF21,'DATASET 25%'!J2:J21)</f>
        <v>0.5109727978163674</v>
      </c>
      <c r="K33" s="28">
        <f>CORREL('DATASET 25%'!$AF2:$AF21,'DATASET 25%'!K2:K21)</f>
        <v>-0.2374747493427796</v>
      </c>
      <c r="L33" s="28">
        <f>CORREL('DATASET 25%'!$AF2:$AF21,'DATASET 25%'!L2:L21)</f>
        <v>0.17036656890909538</v>
      </c>
      <c r="M33" s="28">
        <f>CORREL('DATASET 25%'!$AF2:$AF21,'DATASET 25%'!M2:M21)</f>
        <v>0.31303423234849176</v>
      </c>
      <c r="N33" s="28">
        <f>CORREL('DATASET 25%'!$AF2:$AF21,'DATASET 25%'!N2:N21)</f>
        <v>-6.957686774774953E-2</v>
      </c>
      <c r="O33" s="28">
        <f>CORREL('DATASET 25%'!$AF2:$AF21,'DATASET 25%'!O2:O21)</f>
        <v>-0.51106285653342143</v>
      </c>
      <c r="P33" s="28">
        <f>CORREL('DATASET 25%'!$AF2:$AF21,'DATASET 25%'!P2:P21)</f>
        <v>0.69784486494683895</v>
      </c>
      <c r="Q33" s="28">
        <f>CORREL('DATASET 25%'!$AF2:$AF21,'DATASET 25%'!Q2:Q21)</f>
        <v>-2.5877458475338268E-2</v>
      </c>
      <c r="R33" s="28">
        <f>CORREL('DATASET 25%'!$AF2:$AF21,'DATASET 25%'!R2:R21)</f>
        <v>7.443229275647878E-2</v>
      </c>
      <c r="S33" s="38">
        <f>CORREL('DATASET 25%'!$AF2:$AF21,'DATASET 25%'!S2:S21)</f>
        <v>0.56687785098325183</v>
      </c>
      <c r="T33" s="28">
        <f>CORREL('DATASET 25%'!$AF2:$AF21,'DATASET 25%'!T2:T21)</f>
        <v>-0.47985743496869659</v>
      </c>
      <c r="U33" s="28">
        <f>CORREL('DATASET 25%'!$AF2:$AF21,'DATASET 25%'!U2:U21)</f>
        <v>0.36020657199696382</v>
      </c>
      <c r="V33" s="28">
        <f>CORREL('DATASET 25%'!$AF2:$AF21,'DATASET 25%'!V2:V21)</f>
        <v>0.48307916260016465</v>
      </c>
      <c r="W33" s="28">
        <f>CORREL('DATASET 25%'!$AF2:$AF21,'DATASET 25%'!W2:W21)</f>
        <v>0.39876947478097419</v>
      </c>
      <c r="X33" s="28">
        <f>CORREL('DATASET 25%'!$AF2:$AF21,'DATASET 25%'!X2:X21)</f>
        <v>-0.2206842995319124</v>
      </c>
      <c r="Y33" s="28">
        <f>CORREL('DATASET 25%'!$AF2:$AF21,'DATASET 25%'!Y2:Y21)</f>
        <v>-0.50210442589412763</v>
      </c>
      <c r="Z33" s="28">
        <f>CORREL('DATASET 25%'!$AF2:$AF21,'DATASET 25%'!Z2:Z21)</f>
        <v>-0.27247463045653297</v>
      </c>
      <c r="AA33" s="28">
        <f>CORREL('DATASET 25%'!$AF2:$AF21,'DATASET 25%'!AA2:AA21)</f>
        <v>0.20046884346862001</v>
      </c>
      <c r="AB33" s="28">
        <f>CORREL('DATASET 25%'!$AF2:$AF21,'DATASET 25%'!AB2:AB21)</f>
        <v>-0.71097366291019837</v>
      </c>
      <c r="AC33" s="28">
        <f>CORREL('DATASET 25%'!$AF2:$AF21,'DATASET 25%'!AC2:AC21)</f>
        <v>-4.9286405809014409E-2</v>
      </c>
      <c r="AD33" s="28">
        <f>CORREL('DATASET 25%'!$AF2:$AF21,'DATASET 25%'!AD2:AD21)</f>
        <v>0.78676465874992618</v>
      </c>
      <c r="AE33" s="28">
        <f>CORREL('DATASET 25%'!$AF2:$AF21,'DATASET 25%'!AE2:AE21)</f>
        <v>0.15035280330977649</v>
      </c>
      <c r="AF33" s="28">
        <f>CORREL('DATASET 25%'!$AF2:$AF21,'DATASET 25%'!AF2:AF21)</f>
        <v>0.99999999999999978</v>
      </c>
      <c r="AG33" s="28">
        <f>CORREL('DATASET 25%'!$AF2:$AF21,'DATASET 25%'!AG2:AG21)</f>
        <v>-0.29437813632116777</v>
      </c>
      <c r="AH33" s="28">
        <f>CORREL('DATASET 25%'!$AF2:$AF21,'DATASET 25%'!AH2:AH21)</f>
        <v>-0.55339859052946638</v>
      </c>
      <c r="AI33" s="28">
        <f>CORREL('DATASET 25%'!$AF2:$AF21,'DATASET 25%'!AI2:AI21)</f>
        <v>3.5942400294086838E-2</v>
      </c>
      <c r="AJ33" s="28">
        <f>CORREL('DATASET 25%'!$AF2:$AF21,'DATASET 25%'!AJ2:AJ21)</f>
        <v>-0.50773180223289271</v>
      </c>
      <c r="AK33" s="28">
        <f>CORREL('DATASET 25%'!$AF2:$AF21,'DATASET 25%'!AK2:AK21)</f>
        <v>-0.24863759203691035</v>
      </c>
      <c r="AL33" s="28">
        <f>CORREL('DATASET 25%'!$AF2:$AF21,'DATASET 25%'!AL2:AL21)</f>
        <v>-0.33954987505086615</v>
      </c>
      <c r="AM33" s="28">
        <f>CORREL('DATASET 25%'!$AF2:$AF21,'DATASET 25%'!AM2:AM21)</f>
        <v>-0.44184440301589933</v>
      </c>
      <c r="AN33" s="28">
        <f>CORREL('DATASET 25%'!$AF2:$AF21,'DATASET 25%'!AN2:AN21)</f>
        <v>-0.67884423330213062</v>
      </c>
      <c r="AO33" s="28">
        <f>CORREL('DATASET 25%'!$AF2:$AF21,'DATASET 25%'!AO2:AO21)</f>
        <v>0.12309149097933271</v>
      </c>
      <c r="AP33" s="28">
        <f>CORREL('DATASET 25%'!$AF2:$AF21,'DATASET 25%'!AP2:AP21)</f>
        <v>0.71754730985240966</v>
      </c>
      <c r="AQ33" s="28">
        <f>CORREL('DATASET 25%'!$AF2:$AF21,'DATASET 25%'!AQ2:AQ21)</f>
        <v>0.26940795304016235</v>
      </c>
      <c r="AR33" s="28">
        <f>CORREL('DATASET 25%'!$AF2:$AF21,'DATASET 25%'!AR2:AR21)</f>
        <v>0.21836833347360471</v>
      </c>
      <c r="AS33" s="28">
        <f>CORREL('DATASET 25%'!$AF2:$AF21,'DATASET 25%'!AS2:AS21)</f>
        <v>0.28653412753062646</v>
      </c>
      <c r="AT33" s="28">
        <f>CORREL('DATASET 25%'!$AF2:$AF21,'DATASET 25%'!AT2:AT21)</f>
        <v>-0.1099607062497469</v>
      </c>
      <c r="AU33" s="28">
        <f>CORREL('DATASET 25%'!$AF2:$AF21,'DATASET 25%'!AU2:AU21)</f>
        <v>-0.51151782514091637</v>
      </c>
      <c r="AV33" s="28">
        <f>CORREL('DATASET 25%'!$AF2:$AF21,'DATASET 25%'!AV2:AV21)</f>
        <v>-0.23398419466270653</v>
      </c>
      <c r="AW33" s="28">
        <f>CORREL('DATASET 25%'!$AF2:$AF21,'DATASET 25%'!AW2:AW21)</f>
        <v>-0.39999999999999991</v>
      </c>
      <c r="AX33" s="28">
        <f>CORREL('DATASET 25%'!$AF2:$AF21,'DATASET 25%'!AX2:AX21)</f>
        <v>0.27907815282571896</v>
      </c>
      <c r="AY33" s="28">
        <f>CORREL('DATASET 25%'!$AF2:$AF21,'DATASET 25%'!AY2:AY21)</f>
        <v>0.46401520838782689</v>
      </c>
    </row>
    <row r="34" spans="1:51" ht="20" customHeight="1" x14ac:dyDescent="0.15">
      <c r="A34" s="30" t="s">
        <v>32</v>
      </c>
      <c r="B34" s="29">
        <f>CORREL('DATASET 25%'!$AG2:$AG21,'DATASET 25%'!B2:B21)</f>
        <v>0.60702355276851894</v>
      </c>
      <c r="C34" s="28">
        <f>CORREL('DATASET 25%'!$AG2:$AG21,'DATASET 25%'!C2:C21)</f>
        <v>0.47338106833115096</v>
      </c>
      <c r="D34" s="28">
        <f>CORREL('DATASET 25%'!$AG2:$AG21,'DATASET 25%'!D2:D21)</f>
        <v>2.0946921974372049E-2</v>
      </c>
      <c r="E34" s="28">
        <f>CORREL('DATASET 25%'!$AG2:$AG21,'DATASET 25%'!E2:E21)</f>
        <v>0.52704627669472981</v>
      </c>
      <c r="F34" s="28">
        <f>CORREL('DATASET 25%'!$AG2:$AG21,'DATASET 25%'!F2:F21)</f>
        <v>0.53713520225407585</v>
      </c>
      <c r="G34" s="28">
        <f>CORREL('DATASET 25%'!$AG2:$AG21,'DATASET 25%'!G2:G21)</f>
        <v>0.60444733001428652</v>
      </c>
      <c r="H34" s="28">
        <f>CORREL('DATASET 25%'!$AG2:$AG21,'DATASET 25%'!H2:H21)</f>
        <v>-0.65391269291454424</v>
      </c>
      <c r="I34" s="42">
        <f>CORREL('DATASET 25%'!$AG2:$AG21,'DATASET 25%'!I2:I21)</f>
        <v>-0.19990030135559747</v>
      </c>
      <c r="J34" s="28">
        <f>CORREL('DATASET 25%'!$AG2:$AG21,'DATASET 25%'!J2:J21)</f>
        <v>-0.18229308607506009</v>
      </c>
      <c r="K34" s="28">
        <f>CORREL('DATASET 25%'!$AG2:$AG21,'DATASET 25%'!K2:K21)</f>
        <v>0.65625000000000022</v>
      </c>
      <c r="L34" s="28">
        <f>CORREL('DATASET 25%'!$AG2:$AG21,'DATASET 25%'!L2:L21)</f>
        <v>-0.17434741848535132</v>
      </c>
      <c r="M34" s="28">
        <f>CORREL('DATASET 25%'!$AG2:$AG21,'DATASET 25%'!M2:M21)</f>
        <v>-0.57200709156458562</v>
      </c>
      <c r="N34" s="28">
        <f>CORREL('DATASET 25%'!$AG2:$AG21,'DATASET 25%'!N2:N21)</f>
        <v>8.4274982807905255E-2</v>
      </c>
      <c r="O34" s="28">
        <f>CORREL('DATASET 25%'!$AG2:$AG21,'DATASET 25%'!O2:O21)</f>
        <v>0.77906496204635123</v>
      </c>
      <c r="P34" s="28">
        <f>CORREL('DATASET 25%'!$AG2:$AG21,'DATASET 25%'!P2:P21)</f>
        <v>-0.44189932023991335</v>
      </c>
      <c r="Q34" s="28">
        <f>CORREL('DATASET 25%'!$AG2:$AG21,'DATASET 25%'!Q2:Q21)</f>
        <v>0.49507377148833714</v>
      </c>
      <c r="R34" s="28">
        <f>CORREL('DATASET 25%'!$AG2:$AG21,'DATASET 25%'!R2:R21)</f>
        <v>-0.2152865871501092</v>
      </c>
      <c r="S34" s="38">
        <f>CORREL('DATASET 25%'!$AG2:$AG21,'DATASET 25%'!S2:S21)</f>
        <v>-0.35795716689756796</v>
      </c>
      <c r="T34" s="28">
        <f>CORREL('DATASET 25%'!$AG2:$AG21,'DATASET 25%'!T2:T21)</f>
        <v>0.79799276489839721</v>
      </c>
      <c r="U34" s="28">
        <f>CORREL('DATASET 25%'!$AG2:$AG21,'DATASET 25%'!U2:U21)</f>
        <v>-0.56577894986100374</v>
      </c>
      <c r="V34" s="28">
        <f>CORREL('DATASET 25%'!$AG2:$AG21,'DATASET 25%'!V2:V21)</f>
        <v>-0.56180064773358962</v>
      </c>
      <c r="W34" s="28">
        <f>CORREL('DATASET 25%'!$AG2:$AG21,'DATASET 25%'!W2:W21)</f>
        <v>-0.41739193556484117</v>
      </c>
      <c r="X34" s="28">
        <f>CORREL('DATASET 25%'!$AG2:$AG21,'DATASET 25%'!X2:X21)</f>
        <v>0.71281449226386262</v>
      </c>
      <c r="Y34" s="28">
        <f>CORREL('DATASET 25%'!$AG2:$AG21,'DATASET 25%'!Y2:Y21)</f>
        <v>0.62929824215192109</v>
      </c>
      <c r="Z34" s="28">
        <f>CORREL('DATASET 25%'!$AG2:$AG21,'DATASET 25%'!Z2:Z21)</f>
        <v>0.16817034745516418</v>
      </c>
      <c r="AA34" s="28">
        <f>CORREL('DATASET 25%'!$AG2:$AG21,'DATASET 25%'!AA2:AA21)</f>
        <v>-0.15861031714362883</v>
      </c>
      <c r="AB34" s="28">
        <f>CORREL('DATASET 25%'!$AG2:$AG21,'DATASET 25%'!AB2:AB21)</f>
        <v>0.74438122080257285</v>
      </c>
      <c r="AC34" s="28">
        <f>CORREL('DATASET 25%'!$AG2:$AG21,'DATASET 25%'!AC2:AC21)</f>
        <v>0.57054433073454802</v>
      </c>
      <c r="AD34" s="28">
        <f>CORREL('DATASET 25%'!$AG2:$AG21,'DATASET 25%'!AD2:AD21)</f>
        <v>-0.33368040070881994</v>
      </c>
      <c r="AE34" s="28">
        <f>CORREL('DATASET 25%'!$AG2:$AG21,'DATASET 25%'!AE2:AE21)</f>
        <v>-0.59126431985615313</v>
      </c>
      <c r="AF34" s="28">
        <f>CORREL('DATASET 25%'!$AG2:$AG21,'DATASET 25%'!AF2:AF21)</f>
        <v>-0.29437813632116777</v>
      </c>
      <c r="AG34" s="28">
        <f>CORREL('DATASET 25%'!$AG2:$AG21,'DATASET 25%'!AG2:AG21)</f>
        <v>0.99999999999999989</v>
      </c>
      <c r="AH34" s="28">
        <f>CORREL('DATASET 25%'!$AG2:$AG21,'DATASET 25%'!AH2:AH21)</f>
        <v>9.8532927816429319E-2</v>
      </c>
      <c r="AI34" s="28">
        <f>CORREL('DATASET 25%'!$AG2:$AG21,'DATASET 25%'!AI2:AI21)</f>
        <v>-0.20109991663496091</v>
      </c>
      <c r="AJ34" s="28">
        <f>CORREL('DATASET 25%'!$AG2:$AG21,'DATASET 25%'!AJ2:AJ21)</f>
        <v>0.68409994750753289</v>
      </c>
      <c r="AK34" s="28">
        <f>CORREL('DATASET 25%'!$AG2:$AG21,'DATASET 25%'!AK2:AK21)</f>
        <v>0.15150636777349855</v>
      </c>
      <c r="AL34" s="28">
        <f>CORREL('DATASET 25%'!$AG2:$AG21,'DATASET 25%'!AL2:AL21)</f>
        <v>-0.15174424466672107</v>
      </c>
      <c r="AM34" s="28">
        <f>CORREL('DATASET 25%'!$AG2:$AG21,'DATASET 25%'!AM2:AM21)</f>
        <v>0.28427738894389903</v>
      </c>
      <c r="AN34" s="28">
        <f>CORREL('DATASET 25%'!$AG2:$AG21,'DATASET 25%'!AN2:AN21)</f>
        <v>0.32732683535398854</v>
      </c>
      <c r="AO34" s="28">
        <f>CORREL('DATASET 25%'!$AG2:$AG21,'DATASET 25%'!AO2:AO21)</f>
        <v>-0.30987534150481755</v>
      </c>
      <c r="AP34" s="28">
        <f>CORREL('DATASET 25%'!$AG2:$AG21,'DATASET 25%'!AP2:AP21)</f>
        <v>-7.3142287622709259E-2</v>
      </c>
      <c r="AQ34" s="28">
        <f>CORREL('DATASET 25%'!$AG2:$AG21,'DATASET 25%'!AQ2:AQ21)</f>
        <v>0.21624970671153415</v>
      </c>
      <c r="AR34" s="28">
        <f>CORREL('DATASET 25%'!$AG2:$AG21,'DATASET 25%'!AR2:AR21)</f>
        <v>-4.2618452124564138E-3</v>
      </c>
      <c r="AS34" s="28">
        <f>CORREL('DATASET 25%'!$AG2:$AG21,'DATASET 25%'!AS2:AS21)</f>
        <v>-0.54486236794258425</v>
      </c>
      <c r="AT34" s="28">
        <f>CORREL('DATASET 25%'!$AG2:$AG21,'DATASET 25%'!AT2:AT21)</f>
        <v>0.73434287208463644</v>
      </c>
      <c r="AU34" s="28">
        <f>CORREL('DATASET 25%'!$AG2:$AG21,'DATASET 25%'!AU2:AU21)</f>
        <v>0.21556199545914567</v>
      </c>
      <c r="AV34" s="28">
        <f>CORREL('DATASET 25%'!$AG2:$AG21,'DATASET 25%'!AV2:AV21)</f>
        <v>0.16558158568661696</v>
      </c>
      <c r="AW34" s="28">
        <f>CORREL('DATASET 25%'!$AG2:$AG21,'DATASET 25%'!AW2:AW21)</f>
        <v>0.85904643897389277</v>
      </c>
      <c r="AX34" s="28">
        <f>CORREL('DATASET 25%'!$AG2:$AG21,'DATASET 25%'!AX2:AX21)</f>
        <v>-0.13043630466365258</v>
      </c>
      <c r="AY34" s="28">
        <f>CORREL('DATASET 25%'!$AG2:$AG21,'DATASET 25%'!AY2:AY21)</f>
        <v>-0.36879189617800329</v>
      </c>
    </row>
    <row r="35" spans="1:51" ht="20" customHeight="1" x14ac:dyDescent="0.15">
      <c r="A35" s="30" t="s">
        <v>33</v>
      </c>
      <c r="B35" s="29">
        <f>CORREL('DATASET 25%'!$AH2:$AH21,'DATASET 25%'!B2:B21)</f>
        <v>0.34196363905360266</v>
      </c>
      <c r="C35" s="28">
        <f>CORREL('DATASET 25%'!$AH2:$AH21,'DATASET 25%'!C2:C21)</f>
        <v>-0.36499819754421575</v>
      </c>
      <c r="D35" s="28">
        <f>CORREL('DATASET 25%'!$AH2:$AH21,'DATASET 25%'!D2:D21)</f>
        <v>-0.52345355399348059</v>
      </c>
      <c r="E35" s="28">
        <f>CORREL('DATASET 25%'!$AH2:$AH21,'DATASET 25%'!E2:E21)</f>
        <v>0.10699012312772826</v>
      </c>
      <c r="F35" s="28">
        <f>CORREL('DATASET 25%'!$AH2:$AH21,'DATASET 25%'!F2:F21)</f>
        <v>0.56865367612194617</v>
      </c>
      <c r="G35" s="28">
        <f>CORREL('DATASET 25%'!$AH2:$AH21,'DATASET 25%'!G2:G21)</f>
        <v>0.63535008048369834</v>
      </c>
      <c r="H35" s="28">
        <f>CORREL('DATASET 25%'!$AH2:$AH21,'DATASET 25%'!H2:H21)</f>
        <v>-0.55610849839899479</v>
      </c>
      <c r="I35" s="42">
        <f>CORREL('DATASET 25%'!$AH2:$AH21,'DATASET 25%'!I2:I21)</f>
        <v>-0.3979949748426479</v>
      </c>
      <c r="J35" s="28">
        <f>CORREL('DATASET 25%'!$AH2:$AH21,'DATASET 25%'!J2:J21)</f>
        <v>-0.85659641084188165</v>
      </c>
      <c r="K35" s="28">
        <f>CORREL('DATASET 25%'!$AH2:$AH21,'DATASET 25%'!K2:K21)</f>
        <v>0.31441407276126621</v>
      </c>
      <c r="L35" s="28">
        <f>CORREL('DATASET 25%'!$AH2:$AH21,'DATASET 25%'!L2:L21)</f>
        <v>-0.43914197885977774</v>
      </c>
      <c r="M35" s="28">
        <f>CORREL('DATASET 25%'!$AH2:$AH21,'DATASET 25%'!M2:M21)</f>
        <v>-0.2425553875643785</v>
      </c>
      <c r="N35" s="28">
        <f>CORREL('DATASET 25%'!$AH2:$AH21,'DATASET 25%'!N2:N21)</f>
        <v>-0.17677669529663678</v>
      </c>
      <c r="O35" s="28">
        <f>CORREL('DATASET 25%'!$AH2:$AH21,'DATASET 25%'!O2:O21)</f>
        <v>0.77773458869206369</v>
      </c>
      <c r="P35" s="28">
        <f>CORREL('DATASET 25%'!$AH2:$AH21,'DATASET 25%'!P2:P21)</f>
        <v>-0.4865092359773211</v>
      </c>
      <c r="Q35" s="28">
        <f>CORREL('DATASET 25%'!$AH2:$AH21,'DATASET 25%'!Q2:Q21)</f>
        <v>-9.1287092917527721E-2</v>
      </c>
      <c r="R35" s="28">
        <f>CORREL('DATASET 25%'!$AH2:$AH21,'DATASET 25%'!R2:R21)</f>
        <v>-0.17849318420055524</v>
      </c>
      <c r="S35" s="38">
        <f>CORREL('DATASET 25%'!$AH2:$AH21,'DATASET 25%'!S2:S21)</f>
        <v>-0.58129541547844554</v>
      </c>
      <c r="T35" s="28">
        <f>CORREL('DATASET 25%'!$AH2:$AH21,'DATASET 25%'!T2:T21)</f>
        <v>0.42705504580293741</v>
      </c>
      <c r="U35" s="28">
        <f>CORREL('DATASET 25%'!$AH2:$AH21,'DATASET 25%'!U2:U21)</f>
        <v>-0.17550294029241237</v>
      </c>
      <c r="V35" s="28">
        <f>CORREL('DATASET 25%'!$AH2:$AH21,'DATASET 25%'!V2:V21)</f>
        <v>-0.70367071606238607</v>
      </c>
      <c r="W35" s="28">
        <f>CORREL('DATASET 25%'!$AH2:$AH21,'DATASET 25%'!W2:W21)</f>
        <v>-0.57173115475474245</v>
      </c>
      <c r="X35" s="28">
        <f>CORREL('DATASET 25%'!$AH2:$AH21,'DATASET 25%'!X2:X21)</f>
        <v>0.44216440619668557</v>
      </c>
      <c r="Y35" s="28">
        <f>CORREL('DATASET 25%'!$AH2:$AH21,'DATASET 25%'!Y2:Y21)</f>
        <v>0.42237094187876373</v>
      </c>
      <c r="Z35" s="28">
        <f>CORREL('DATASET 25%'!$AH2:$AH21,'DATASET 25%'!Z2:Z21)</f>
        <v>-0.1838036555234519</v>
      </c>
      <c r="AA35" s="28">
        <f>CORREL('DATASET 25%'!$AH2:$AH21,'DATASET 25%'!AA2:AA21)</f>
        <v>-9.6730166681334939E-2</v>
      </c>
      <c r="AB35" s="28">
        <f>CORREL('DATASET 25%'!$AH2:$AH21,'DATASET 25%'!AB2:AB21)</f>
        <v>0.72991702608628461</v>
      </c>
      <c r="AC35" s="28">
        <f>CORREL('DATASET 25%'!$AH2:$AH21,'DATASET 25%'!AC2:AC21)</f>
        <v>0.66900191279400234</v>
      </c>
      <c r="AD35" s="28">
        <f>CORREL('DATASET 25%'!$AH2:$AH21,'DATASET 25%'!AD2:AD21)</f>
        <v>-0.32581895732207761</v>
      </c>
      <c r="AE35" s="28">
        <f>CORREL('DATASET 25%'!$AH2:$AH21,'DATASET 25%'!AE2:AE21)</f>
        <v>5.7335076346148449E-2</v>
      </c>
      <c r="AF35" s="28">
        <f>CORREL('DATASET 25%'!$AH2:$AH21,'DATASET 25%'!AF2:AF21)</f>
        <v>-0.55339859052946638</v>
      </c>
      <c r="AG35" s="28">
        <f>CORREL('DATASET 25%'!$AH2:$AH21,'DATASET 25%'!AG2:AG21)</f>
        <v>9.8532927816429319E-2</v>
      </c>
      <c r="AH35" s="28">
        <f>CORREL('DATASET 25%'!$AH2:$AH21,'DATASET 25%'!AH2:AH21)</f>
        <v>1</v>
      </c>
      <c r="AI35" s="28">
        <f>CORREL('DATASET 25%'!$AH2:$AH21,'DATASET 25%'!AI2:AI21)</f>
        <v>-0.1163350101494222</v>
      </c>
      <c r="AJ35" s="28">
        <f>CORREL('DATASET 25%'!$AH2:$AH21,'DATASET 25%'!AJ2:AJ21)</f>
        <v>0.15763416929425439</v>
      </c>
      <c r="AK35" s="28">
        <f>CORREL('DATASET 25%'!$AH2:$AH21,'DATASET 25%'!AK2:AK21)</f>
        <v>0.19220768736140811</v>
      </c>
      <c r="AL35" s="28">
        <f>CORREL('DATASET 25%'!$AH2:$AH21,'DATASET 25%'!AL2:AL21)</f>
        <v>-0.41459249461708658</v>
      </c>
      <c r="AM35" s="28">
        <f>CORREL('DATASET 25%'!$AH2:$AH21,'DATASET 25%'!AM2:AM21)</f>
        <v>0.46239232314079082</v>
      </c>
      <c r="AN35" s="28">
        <f>CORREL('DATASET 25%'!$AH2:$AH21,'DATASET 25%'!AN2:AN21)</f>
        <v>0.47599926644219553</v>
      </c>
      <c r="AO35" s="28">
        <f>CORREL('DATASET 25%'!$AH2:$AH21,'DATASET 25%'!AO2:AO21)</f>
        <v>-0.57448608304442361</v>
      </c>
      <c r="AP35" s="28">
        <f>CORREL('DATASET 25%'!$AH2:$AH21,'DATASET 25%'!AP2:AP21)</f>
        <v>-0.61778811088821772</v>
      </c>
      <c r="AQ35" s="28">
        <f>CORREL('DATASET 25%'!$AH2:$AH21,'DATASET 25%'!AQ2:AQ21)</f>
        <v>8.0582296402538001E-2</v>
      </c>
      <c r="AR35" s="28">
        <f>CORREL('DATASET 25%'!$AH2:$AH21,'DATASET 25%'!AR2:AR21)</f>
        <v>-0.45342519294190697</v>
      </c>
      <c r="AS35" s="28">
        <f>CORREL('DATASET 25%'!$AH2:$AH21,'DATASET 25%'!AS2:AS21)</f>
        <v>-0.11504474832710557</v>
      </c>
      <c r="AT35" s="28">
        <f>CORREL('DATASET 25%'!$AH2:$AH21,'DATASET 25%'!AT2:AT21)</f>
        <v>0.14082517803727698</v>
      </c>
      <c r="AU35" s="28">
        <f>CORREL('DATASET 25%'!$AH2:$AH21,'DATASET 25%'!AU2:AU21)</f>
        <v>0.42913229441399486</v>
      </c>
      <c r="AV35" s="28">
        <f>CORREL('DATASET 25%'!$AH2:$AH21,'DATASET 25%'!AV2:AV21)</f>
        <v>-0.31686212526223895</v>
      </c>
      <c r="AW35" s="28">
        <f>CORREL('DATASET 25%'!$AH2:$AH21,'DATASET 25%'!AW2:AW21)</f>
        <v>0.24253562503633302</v>
      </c>
      <c r="AX35" s="28">
        <f>CORREL('DATASET 25%'!$AH2:$AH21,'DATASET 25%'!AX2:AX21)</f>
        <v>0.11492582782061478</v>
      </c>
      <c r="AY35" s="28">
        <f>CORREL('DATASET 25%'!$AH2:$AH21,'DATASET 25%'!AY2:AY21)</f>
        <v>-0.79875468685558015</v>
      </c>
    </row>
    <row r="36" spans="1:51" ht="20" customHeight="1" x14ac:dyDescent="0.15">
      <c r="A36" s="30" t="s">
        <v>34</v>
      </c>
      <c r="B36" s="29">
        <f>CORREL('DATASET 25%'!$AI2:$AI21,'DATASET 25%'!B2:B21)</f>
        <v>-0.21755818169982738</v>
      </c>
      <c r="C36" s="28">
        <f>CORREL('DATASET 25%'!$AI2:$AI21,'DATASET 25%'!C2:C21)</f>
        <v>-0.43631801264543324</v>
      </c>
      <c r="D36" s="28">
        <f>CORREL('DATASET 25%'!$AI2:$AI21,'DATASET 25%'!D2:D21)</f>
        <v>0.16374773431310663</v>
      </c>
      <c r="E36" s="28">
        <f>CORREL('DATASET 25%'!$AI2:$AI21,'DATASET 25%'!E2:E21)</f>
        <v>-0.296156766846422</v>
      </c>
      <c r="F36" s="28">
        <f>CORREL('DATASET 25%'!$AI2:$AI21,'DATASET 25%'!F2:F21)</f>
        <v>-0.10039117221153809</v>
      </c>
      <c r="G36" s="28">
        <f>CORREL('DATASET 25%'!$AI2:$AI21,'DATASET 25%'!G2:G21)</f>
        <v>0.40915999125816449</v>
      </c>
      <c r="H36" s="28">
        <f>CORREL('DATASET 25%'!$AI2:$AI21,'DATASET 25%'!H2:H21)</f>
        <v>-0.13102120744636397</v>
      </c>
      <c r="I36" s="42">
        <f>CORREL('DATASET 25%'!$AI2:$AI21,'DATASET 25%'!I2:I21)</f>
        <v>-0.31550422372033832</v>
      </c>
      <c r="J36" s="28">
        <f>CORREL('DATASET 25%'!$AI2:$AI21,'DATASET 25%'!J2:J21)</f>
        <v>0.48000783692661925</v>
      </c>
      <c r="K36" s="28">
        <f>CORREL('DATASET 25%'!$AI2:$AI21,'DATASET 25%'!K2:K21)</f>
        <v>0.2525381361380527</v>
      </c>
      <c r="L36" s="28">
        <f>CORREL('DATASET 25%'!$AI2:$AI21,'DATASET 25%'!L2:L21)</f>
        <v>0.14491645112472706</v>
      </c>
      <c r="M36" s="28">
        <f>CORREL('DATASET 25%'!$AI2:$AI21,'DATASET 25%'!M2:M21)</f>
        <v>0.16118595467047644</v>
      </c>
      <c r="N36" s="28">
        <f>CORREL('DATASET 25%'!$AI2:$AI21,'DATASET 25%'!N2:N21)</f>
        <v>0.39596459438202714</v>
      </c>
      <c r="O36" s="28">
        <f>CORREL('DATASET 25%'!$AI2:$AI21,'DATASET 25%'!O2:O21)</f>
        <v>0.1577954257203599</v>
      </c>
      <c r="P36" s="28">
        <f>CORREL('DATASET 25%'!$AI2:$AI21,'DATASET 25%'!P2:P21)</f>
        <v>-0.39378076532410838</v>
      </c>
      <c r="Q36" s="28">
        <f>CORREL('DATASET 25%'!$AI2:$AI21,'DATASET 25%'!Q2:Q21)</f>
        <v>-1.1716158058130794E-2</v>
      </c>
      <c r="R36" s="28">
        <f>CORREL('DATASET 25%'!$AI2:$AI21,'DATASET 25%'!R2:R21)</f>
        <v>0.23211571081372812</v>
      </c>
      <c r="S36" s="38">
        <f>CORREL('DATASET 25%'!$AI2:$AI21,'DATASET 25%'!S2:S21)</f>
        <v>-0.18641668793370503</v>
      </c>
      <c r="T36" s="28">
        <f>CORREL('DATASET 25%'!$AI2:$AI21,'DATASET 25%'!T2:T21)</f>
        <v>-0.4249150254915029</v>
      </c>
      <c r="U36" s="28">
        <f>CORREL('DATASET 25%'!$AI2:$AI21,'DATASET 25%'!U2:U21)</f>
        <v>-0.20656848019521196</v>
      </c>
      <c r="V36" s="28">
        <f>CORREL('DATASET 25%'!$AI2:$AI21,'DATASET 25%'!V2:V21)</f>
        <v>-0.21821789023599231</v>
      </c>
      <c r="W36" s="28">
        <f>CORREL('DATASET 25%'!$AI2:$AI21,'DATASET 25%'!W2:W21)</f>
        <v>0.72829264988432396</v>
      </c>
      <c r="X36" s="28">
        <f>CORREL('DATASET 25%'!$AI2:$AI21,'DATASET 25%'!X2:X21)</f>
        <v>-6.8314270197188873E-2</v>
      </c>
      <c r="Y36" s="28">
        <f>CORREL('DATASET 25%'!$AI2:$AI21,'DATASET 25%'!Y2:Y21)</f>
        <v>0.10676524668807677</v>
      </c>
      <c r="Z36" s="28">
        <f>CORREL('DATASET 25%'!$AI2:$AI21,'DATASET 25%'!Z2:Z21)</f>
        <v>4.2553191489361715E-2</v>
      </c>
      <c r="AA36" s="28">
        <f>CORREL('DATASET 25%'!$AI2:$AI21,'DATASET 25%'!AA2:AA21)</f>
        <v>4.1239304942116119E-2</v>
      </c>
      <c r="AB36" s="28">
        <f>CORREL('DATASET 25%'!$AI2:$AI21,'DATASET 25%'!AB2:AB21)</f>
        <v>-0.43554052664624454</v>
      </c>
      <c r="AC36" s="28">
        <f>CORREL('DATASET 25%'!$AI2:$AI21,'DATASET 25%'!AC2:AC21)</f>
        <v>0.61920614666924001</v>
      </c>
      <c r="AD36" s="28">
        <f>CORREL('DATASET 25%'!$AI2:$AI21,'DATASET 25%'!AD2:AD21)</f>
        <v>-0.31711567137846791</v>
      </c>
      <c r="AE36" s="28">
        <f>CORREL('DATASET 25%'!$AI2:$AI21,'DATASET 25%'!AE2:AE21)</f>
        <v>0.35046481759258774</v>
      </c>
      <c r="AF36" s="28">
        <f>CORREL('DATASET 25%'!$AI2:$AI21,'DATASET 25%'!AF2:AF21)</f>
        <v>3.5942400294086838E-2</v>
      </c>
      <c r="AG36" s="28">
        <f>CORREL('DATASET 25%'!$AI2:$AI21,'DATASET 25%'!AG2:AG21)</f>
        <v>-0.20109991663496091</v>
      </c>
      <c r="AH36" s="28">
        <f>CORREL('DATASET 25%'!$AI2:$AI21,'DATASET 25%'!AH2:AH21)</f>
        <v>-0.1163350101494222</v>
      </c>
      <c r="AI36" s="28">
        <f>CORREL('DATASET 25%'!$AI2:$AI21,'DATASET 25%'!AI2:AI21)</f>
        <v>1.0000000000000002</v>
      </c>
      <c r="AJ36" s="28">
        <f>CORREL('DATASET 25%'!$AI2:$AI21,'DATASET 25%'!AJ2:AJ21)</f>
        <v>-8.027356290698405E-2</v>
      </c>
      <c r="AK36" s="28">
        <f>CORREL('DATASET 25%'!$AI2:$AI21,'DATASET 25%'!AK2:AK21)</f>
        <v>4.2315179501837642E-2</v>
      </c>
      <c r="AL36" s="28">
        <f>CORREL('DATASET 25%'!$AI2:$AI21,'DATASET 25%'!AL2:AL21)</f>
        <v>-0.25649458802128855</v>
      </c>
      <c r="AM36" s="28">
        <f>CORREL('DATASET 25%'!$AI2:$AI21,'DATASET 25%'!AM2:AM21)</f>
        <v>-0.46637122986327118</v>
      </c>
      <c r="AN36" s="28">
        <f>CORREL('DATASET 25%'!$AI2:$AI21,'DATASET 25%'!AN2:AN21)</f>
        <v>-8.3000970194788498E-2</v>
      </c>
      <c r="AO36" s="28">
        <f>CORREL('DATASET 25%'!$AI2:$AI21,'DATASET 25%'!AO2:AO21)</f>
        <v>0.26709196421662046</v>
      </c>
      <c r="AP36" s="28">
        <f>CORREL('DATASET 25%'!$AI2:$AI21,'DATASET 25%'!AP2:AP21)</f>
        <v>-4.1860917913946083E-2</v>
      </c>
      <c r="AQ36" s="28">
        <f>CORREL('DATASET 25%'!$AI2:$AI21,'DATASET 25%'!AQ2:AQ21)</f>
        <v>-2.449979787750128E-2</v>
      </c>
      <c r="AR36" s="28">
        <f>CORREL('DATASET 25%'!$AI2:$AI21,'DATASET 25%'!AR2:AR21)</f>
        <v>-0.45434411125112123</v>
      </c>
      <c r="AS36" s="28">
        <f>CORREL('DATASET 25%'!$AI2:$AI21,'DATASET 25%'!AS2:AS21)</f>
        <v>0.82018972789169553</v>
      </c>
      <c r="AT36" s="28">
        <f>CORREL('DATASET 25%'!$AI2:$AI21,'DATASET 25%'!AT2:AT21)</f>
        <v>-0.63913043478260867</v>
      </c>
      <c r="AU36" s="28">
        <f>CORREL('DATASET 25%'!$AI2:$AI21,'DATASET 25%'!AU2:AU21)</f>
        <v>-0.82166849681879661</v>
      </c>
      <c r="AV36" s="28">
        <f>CORREL('DATASET 25%'!$AI2:$AI21,'DATASET 25%'!AV2:AV21)</f>
        <v>0.32415011650079217</v>
      </c>
      <c r="AW36" s="28">
        <f>CORREL('DATASET 25%'!$AI2:$AI21,'DATASET 25%'!AW2:AW21)</f>
        <v>-0.22171978681558002</v>
      </c>
      <c r="AX36" s="28">
        <f>CORREL('DATASET 25%'!$AI2:$AI21,'DATASET 25%'!AX2:AX21)</f>
        <v>-6.4746221285351541E-2</v>
      </c>
      <c r="AY36" s="28">
        <f>CORREL('DATASET 25%'!$AI2:$AI21,'DATASET 25%'!AY2:AY21)</f>
        <v>-0.23078316568852536</v>
      </c>
    </row>
    <row r="37" spans="1:51" ht="20" customHeight="1" x14ac:dyDescent="0.15">
      <c r="A37" s="30" t="s">
        <v>35</v>
      </c>
      <c r="B37" s="29">
        <f>CORREL('DATASET 25%'!$AJ2:$AJ21,'DATASET 25%'!B2:B21)</f>
        <v>0.6670561712173172</v>
      </c>
      <c r="C37" s="28">
        <f>CORREL('DATASET 25%'!$AJ2:$AJ21,'DATASET 25%'!C2:C21)</f>
        <v>0.14619752322446775</v>
      </c>
      <c r="D37" s="28">
        <f>CORREL('DATASET 25%'!$AJ2:$AJ21,'DATASET 25%'!D2:D21)</f>
        <v>-3.6080477054410677E-2</v>
      </c>
      <c r="E37" s="28">
        <f>CORREL('DATASET 25%'!$AJ2:$AJ21,'DATASET 25%'!E2:E21)</f>
        <v>0.13002288604209247</v>
      </c>
      <c r="F37" s="28">
        <f>CORREL('DATASET 25%'!$AJ2:$AJ21,'DATASET 25%'!F2:F21)</f>
        <v>0.6426049300860599</v>
      </c>
      <c r="G37" s="28">
        <f>CORREL('DATASET 25%'!$AJ2:$AJ21,'DATASET 25%'!G2:G21)</f>
        <v>0.60317312153647507</v>
      </c>
      <c r="H37" s="28">
        <f>CORREL('DATASET 25%'!$AJ2:$AJ21,'DATASET 25%'!H2:H21)</f>
        <v>-0.57262006438861124</v>
      </c>
      <c r="I37" s="42">
        <f>CORREL('DATASET 25%'!$AJ2:$AJ21,'DATASET 25%'!I2:I21)</f>
        <v>-1.1207692012910081E-2</v>
      </c>
      <c r="J37" s="28">
        <f>CORREL('DATASET 25%'!$AJ2:$AJ21,'DATASET 25%'!J2:J21)</f>
        <v>0.1116111314947551</v>
      </c>
      <c r="K37" s="28">
        <f>CORREL('DATASET 25%'!$AJ2:$AJ21,'DATASET 25%'!K2:K21)</f>
        <v>0.5667248309647317</v>
      </c>
      <c r="L37" s="28">
        <f>CORREL('DATASET 25%'!$AJ2:$AJ21,'DATASET 25%'!L2:L21)</f>
        <v>-0.41261490923033289</v>
      </c>
      <c r="M37" s="28">
        <f>CORREL('DATASET 25%'!$AJ2:$AJ21,'DATASET 25%'!M2:M21)</f>
        <v>-0.12620079606183521</v>
      </c>
      <c r="N37" s="28">
        <f>CORREL('DATASET 25%'!$AJ2:$AJ21,'DATASET 25%'!N2:N21)</f>
        <v>-9.8171443467462621E-2</v>
      </c>
      <c r="O37" s="28">
        <f>CORREL('DATASET 25%'!$AJ2:$AJ21,'DATASET 25%'!O2:O21)</f>
        <v>0.77583886985837125</v>
      </c>
      <c r="P37" s="28">
        <f>CORREL('DATASET 25%'!$AJ2:$AJ21,'DATASET 25%'!P2:P21)</f>
        <v>-0.22817020178569283</v>
      </c>
      <c r="Q37" s="28">
        <f>CORREL('DATASET 25%'!$AJ2:$AJ21,'DATASET 25%'!Q2:Q21)</f>
        <v>0.17206180040292135</v>
      </c>
      <c r="R37" s="28">
        <f>CORREL('DATASET 25%'!$AJ2:$AJ21,'DATASET 25%'!R2:R21)</f>
        <v>0.39546783688344084</v>
      </c>
      <c r="S37" s="38">
        <f>CORREL('DATASET 25%'!$AJ2:$AJ21,'DATASET 25%'!S2:S21)</f>
        <v>-0.40293463717963063</v>
      </c>
      <c r="T37" s="28">
        <f>CORREL('DATASET 25%'!$AJ2:$AJ21,'DATASET 25%'!T2:T21)</f>
        <v>0.46704646607745748</v>
      </c>
      <c r="U37" s="28">
        <f>CORREL('DATASET 25%'!$AJ2:$AJ21,'DATASET 25%'!U2:U21)</f>
        <v>-3.8765384699841483E-2</v>
      </c>
      <c r="V37" s="28">
        <f>CORREL('DATASET 25%'!$AJ2:$AJ21,'DATASET 25%'!V2:V21)</f>
        <v>-0.21661214442955293</v>
      </c>
      <c r="W37" s="28">
        <f>CORREL('DATASET 25%'!$AJ2:$AJ21,'DATASET 25%'!W2:W21)</f>
        <v>-0.25891313423681767</v>
      </c>
      <c r="X37" s="28">
        <f>CORREL('DATASET 25%'!$AJ2:$AJ21,'DATASET 25%'!X2:X21)</f>
        <v>4.6207068373809036E-2</v>
      </c>
      <c r="Y37" s="28">
        <f>CORREL('DATASET 25%'!$AJ2:$AJ21,'DATASET 25%'!Y2:Y21)</f>
        <v>0.35898455401287982</v>
      </c>
      <c r="Z37" s="28">
        <f>CORREL('DATASET 25%'!$AJ2:$AJ21,'DATASET 25%'!Z2:Z21)</f>
        <v>0.24999999999999992</v>
      </c>
      <c r="AA37" s="28">
        <f>CORREL('DATASET 25%'!$AJ2:$AJ21,'DATASET 25%'!AA2:AA21)</f>
        <v>-0.57374509911449945</v>
      </c>
      <c r="AB37" s="28">
        <f>CORREL('DATASET 25%'!$AJ2:$AJ21,'DATASET 25%'!AB2:AB21)</f>
        <v>0.66577138248976375</v>
      </c>
      <c r="AC37" s="28">
        <f>CORREL('DATASET 25%'!$AJ2:$AJ21,'DATASET 25%'!AC2:AC21)</f>
        <v>0.11887150534341145</v>
      </c>
      <c r="AD37" s="28">
        <f>CORREL('DATASET 25%'!$AJ2:$AJ21,'DATASET 25%'!AD2:AD21)</f>
        <v>-0.13486547673978883</v>
      </c>
      <c r="AE37" s="28">
        <f>CORREL('DATASET 25%'!$AJ2:$AJ21,'DATASET 25%'!AE2:AE21)</f>
        <v>-0.28536770851664245</v>
      </c>
      <c r="AF37" s="28">
        <f>CORREL('DATASET 25%'!$AJ2:$AJ21,'DATASET 25%'!AF2:AF21)</f>
        <v>-0.50773180223289271</v>
      </c>
      <c r="AG37" s="28">
        <f>CORREL('DATASET 25%'!$AJ2:$AJ21,'DATASET 25%'!AG2:AG21)</f>
        <v>0.68409994750753289</v>
      </c>
      <c r="AH37" s="28">
        <f>CORREL('DATASET 25%'!$AJ2:$AJ21,'DATASET 25%'!AH2:AH21)</f>
        <v>0.15763416929425439</v>
      </c>
      <c r="AI37" s="28">
        <f>CORREL('DATASET 25%'!$AJ2:$AJ21,'DATASET 25%'!AI2:AI21)</f>
        <v>-8.027356290698405E-2</v>
      </c>
      <c r="AJ37" s="28">
        <f>CORREL('DATASET 25%'!$AJ2:$AJ21,'DATASET 25%'!AJ2:AJ21)</f>
        <v>1</v>
      </c>
      <c r="AK37" s="28">
        <f>CORREL('DATASET 25%'!$AJ2:$AJ21,'DATASET 25%'!AK2:AK21)</f>
        <v>0.69337041842696812</v>
      </c>
      <c r="AL37" s="28">
        <f>CORREL('DATASET 25%'!$AJ2:$AJ21,'DATASET 25%'!AL2:AL21)</f>
        <v>0.38851434494290571</v>
      </c>
      <c r="AM37" s="28">
        <f>CORREL('DATASET 25%'!$AJ2:$AJ21,'DATASET 25%'!AM2:AM21)</f>
        <v>0.11331741716232274</v>
      </c>
      <c r="AN37" s="28">
        <f>CORREL('DATASET 25%'!$AJ2:$AJ21,'DATASET 25%'!AN2:AN21)</f>
        <v>0.43967877187142834</v>
      </c>
      <c r="AO37" s="28">
        <f>CORREL('DATASET 25%'!$AJ2:$AJ21,'DATASET 25%'!AO2:AO21)</f>
        <v>0.16495721976846447</v>
      </c>
      <c r="AP37" s="28">
        <f>CORREL('DATASET 25%'!$AJ2:$AJ21,'DATASET 25%'!AP2:AP21)</f>
        <v>0.22385868365547618</v>
      </c>
      <c r="AQ37" s="28">
        <f>CORREL('DATASET 25%'!$AJ2:$AJ21,'DATASET 25%'!AQ2:AQ21)</f>
        <v>-0.55953820598111903</v>
      </c>
      <c r="AR37" s="28">
        <f>CORREL('DATASET 25%'!$AJ2:$AJ21,'DATASET 25%'!AR2:AR21)</f>
        <v>0.45226701686664522</v>
      </c>
      <c r="AS37" s="28">
        <f>CORREL('DATASET 25%'!$AJ2:$AJ21,'DATASET 25%'!AS2:AS21)</f>
        <v>8.2854437450293222E-2</v>
      </c>
      <c r="AT37" s="28">
        <f>CORREL('DATASET 25%'!$AJ2:$AJ21,'DATASET 25%'!AT2:AT21)</f>
        <v>0.47009426146951899</v>
      </c>
      <c r="AU37" s="28">
        <f>CORREL('DATASET 25%'!$AJ2:$AJ21,'DATASET 25%'!AU2:AU21)</f>
        <v>0.34655164004183592</v>
      </c>
      <c r="AV37" s="28">
        <f>CORREL('DATASET 25%'!$AJ2:$AJ21,'DATASET 25%'!AV2:AV21)</f>
        <v>0.11845088536983572</v>
      </c>
      <c r="AW37" s="28">
        <f>CORREL('DATASET 25%'!$AJ2:$AJ21,'DATASET 25%'!AW2:AW21)</f>
        <v>0.75195170611580142</v>
      </c>
      <c r="AX37" s="28">
        <f>CORREL('DATASET 25%'!$AJ2:$AJ21,'DATASET 25%'!AX2:AX21)</f>
        <v>3.7075671771772047E-2</v>
      </c>
      <c r="AY37" s="28">
        <f>CORREL('DATASET 25%'!$AJ2:$AJ21,'DATASET 25%'!AY2:AY21)</f>
        <v>-7.7615052570633294E-2</v>
      </c>
    </row>
    <row r="38" spans="1:51" ht="20" customHeight="1" x14ac:dyDescent="0.15">
      <c r="A38" s="30" t="s">
        <v>36</v>
      </c>
      <c r="B38" s="29">
        <f>CORREL('DATASET 25%'!$AK2:$AK21,'DATASET 25%'!B2:B21)</f>
        <v>0.21177207712366192</v>
      </c>
      <c r="C38" s="28">
        <f>CORREL('DATASET 25%'!$AK2:$AK21,'DATASET 25%'!C2:C21)</f>
        <v>-8.7567822915456082E-3</v>
      </c>
      <c r="D38" s="28">
        <f>CORREL('DATASET 25%'!$AK2:$AK21,'DATASET 25%'!D2:D21)</f>
        <v>0.56615643937051452</v>
      </c>
      <c r="E38" s="28">
        <f>CORREL('DATASET 25%'!$AK2:$AK21,'DATASET 25%'!E2:E21)</f>
        <v>-0.17505997194995182</v>
      </c>
      <c r="F38" s="28">
        <f>CORREL('DATASET 25%'!$AK2:$AK21,'DATASET 25%'!F2:F21)</f>
        <v>0.30981353230620534</v>
      </c>
      <c r="G38" s="28">
        <f>CORREL('DATASET 25%'!$AK2:$AK21,'DATASET 25%'!G2:G21)</f>
        <v>0.71858086791041453</v>
      </c>
      <c r="H38" s="28">
        <f>CORREL('DATASET 25%'!$AK2:$AK21,'DATASET 25%'!H2:H21)</f>
        <v>-2.0463637726751457E-2</v>
      </c>
      <c r="I38" s="42">
        <f>CORREL('DATASET 25%'!$AK2:$AK21,'DATASET 25%'!I2:I21)</f>
        <v>4.445759190416336E-2</v>
      </c>
      <c r="J38" s="28">
        <f>CORREL('DATASET 25%'!$AK2:$AK21,'DATASET 25%'!J2:J21)</f>
        <v>0.41706179872953997</v>
      </c>
      <c r="K38" s="28">
        <f>CORREL('DATASET 25%'!$AK2:$AK21,'DATASET 25%'!K2:K21)</f>
        <v>0.3385075615650705</v>
      </c>
      <c r="L38" s="28">
        <f>CORREL('DATASET 25%'!$AK2:$AK21,'DATASET 25%'!L2:L21)</f>
        <v>0.21580642477401735</v>
      </c>
      <c r="M38" s="28">
        <f>CORREL('DATASET 25%'!$AK2:$AK21,'DATASET 25%'!M2:M21)</f>
        <v>0.39297079059589762</v>
      </c>
      <c r="N38" s="28">
        <f>CORREL('DATASET 25%'!$AK2:$AK21,'DATASET 25%'!N2:N21)</f>
        <v>9.4522510071864602E-2</v>
      </c>
      <c r="O38" s="28">
        <f>CORREL('DATASET 25%'!$AK2:$AK21,'DATASET 25%'!O2:O21)</f>
        <v>0.18224865716263003</v>
      </c>
      <c r="P38" s="28">
        <f>CORREL('DATASET 25%'!$AK2:$AK21,'DATASET 25%'!P2:P21)</f>
        <v>-0.46526399843023974</v>
      </c>
      <c r="Q38" s="28">
        <f>CORREL('DATASET 25%'!$AK2:$AK21,'DATASET 25%'!Q2:Q21)</f>
        <v>0.46378264264916319</v>
      </c>
      <c r="R38" s="28">
        <f>CORREL('DATASET 25%'!$AK2:$AK21,'DATASET 25%'!R2:R21)</f>
        <v>0.52969088661907404</v>
      </c>
      <c r="S38" s="38">
        <f>CORREL('DATASET 25%'!$AK2:$AK21,'DATASET 25%'!S2:S21)</f>
        <v>0.21110907235849183</v>
      </c>
      <c r="T38" s="28">
        <f>CORREL('DATASET 25%'!$AK2:$AK21,'DATASET 25%'!T2:T21)</f>
        <v>0.27558424295718142</v>
      </c>
      <c r="U38" s="28">
        <f>CORREL('DATASET 25%'!$AK2:$AK21,'DATASET 25%'!U2:U21)</f>
        <v>0.1626992105899939</v>
      </c>
      <c r="V38" s="28">
        <f>CORREL('DATASET 25%'!$AK2:$AK21,'DATASET 25%'!V2:V21)</f>
        <v>0.50515137097137963</v>
      </c>
      <c r="W38" s="28">
        <f>CORREL('DATASET 25%'!$AK2:$AK21,'DATASET 25%'!W2:W21)</f>
        <v>9.9273304864544915E-2</v>
      </c>
      <c r="X38" s="28">
        <f>CORREL('DATASET 25%'!$AK2:$AK21,'DATASET 25%'!X2:X21)</f>
        <v>-0.30017425885609672</v>
      </c>
      <c r="Y38" s="28">
        <f>CORREL('DATASET 25%'!$AK2:$AK21,'DATASET 25%'!Y2:Y21)</f>
        <v>7.537276821582764E-2</v>
      </c>
      <c r="Z38" s="28">
        <f>CORREL('DATASET 25%'!$AK2:$AK21,'DATASET 25%'!Z2:Z21)</f>
        <v>0.14822282480398427</v>
      </c>
      <c r="AA38" s="28">
        <f>CORREL('DATASET 25%'!$AK2:$AK21,'DATASET 25%'!AA2:AA21)</f>
        <v>0.17412651986008645</v>
      </c>
      <c r="AB38" s="28">
        <f>CORREL('DATASET 25%'!$AK2:$AK21,'DATASET 25%'!AB2:AB21)</f>
        <v>0.20835594262672386</v>
      </c>
      <c r="AC38" s="28">
        <f>CORREL('DATASET 25%'!$AK2:$AK21,'DATASET 25%'!AC2:AC21)</f>
        <v>-0.13406661108997397</v>
      </c>
      <c r="AD38" s="28">
        <f>CORREL('DATASET 25%'!$AK2:$AK21,'DATASET 25%'!AD2:AD21)</f>
        <v>-8.5435765771676109E-2</v>
      </c>
      <c r="AE38" s="28">
        <f>CORREL('DATASET 25%'!$AK2:$AK21,'DATASET 25%'!AE2:AE21)</f>
        <v>0.1861570814986496</v>
      </c>
      <c r="AF38" s="28">
        <f>CORREL('DATASET 25%'!$AK2:$AK21,'DATASET 25%'!AF2:AF21)</f>
        <v>-0.24863759203691035</v>
      </c>
      <c r="AG38" s="28">
        <f>CORREL('DATASET 25%'!$AK2:$AK21,'DATASET 25%'!AG2:AG21)</f>
        <v>0.15150636777349855</v>
      </c>
      <c r="AH38" s="28">
        <f>CORREL('DATASET 25%'!$AK2:$AK21,'DATASET 25%'!AH2:AH21)</f>
        <v>0.19220768736140811</v>
      </c>
      <c r="AI38" s="28">
        <f>CORREL('DATASET 25%'!$AK2:$AK21,'DATASET 25%'!AI2:AI21)</f>
        <v>4.2315179501837642E-2</v>
      </c>
      <c r="AJ38" s="28">
        <f>CORREL('DATASET 25%'!$AK2:$AK21,'DATASET 25%'!AJ2:AJ21)</f>
        <v>0.69337041842696812</v>
      </c>
      <c r="AK38" s="28">
        <f>CORREL('DATASET 25%'!$AK2:$AK21,'DATASET 25%'!AK2:AK21)</f>
        <v>1</v>
      </c>
      <c r="AL38" s="28">
        <f>CORREL('DATASET 25%'!$AK2:$AK21,'DATASET 25%'!AL2:AL21)</f>
        <v>0.15544635336100424</v>
      </c>
      <c r="AM38" s="28">
        <f>CORREL('DATASET 25%'!$AK2:$AK21,'DATASET 25%'!AM2:AM21)</f>
        <v>0.23022170896367425</v>
      </c>
      <c r="AN38" s="28">
        <f>CORREL('DATASET 25%'!$AK2:$AK21,'DATASET 25%'!AN2:AN21)</f>
        <v>0.3491821715756136</v>
      </c>
      <c r="AO38" s="28">
        <f>CORREL('DATASET 25%'!$AK2:$AK21,'DATASET 25%'!AO2:AO21)</f>
        <v>0.45826831901927145</v>
      </c>
      <c r="AP38" s="28">
        <f>CORREL('DATASET 25%'!$AK2:$AK21,'DATASET 25%'!AP2:AP21)</f>
        <v>0.42354232693040894</v>
      </c>
      <c r="AQ38" s="28">
        <f>CORREL('DATASET 25%'!$AK2:$AK21,'DATASET 25%'!AQ2:AQ21)</f>
        <v>-0.59538865280675812</v>
      </c>
      <c r="AR38" s="28">
        <f>CORREL('DATASET 25%'!$AK2:$AK21,'DATASET 25%'!AR2:AR21)</f>
        <v>0.48362197509742677</v>
      </c>
      <c r="AS38" s="28">
        <f>CORREL('DATASET 25%'!$AK2:$AK21,'DATASET 25%'!AS2:AS21)</f>
        <v>6.9885655781461206E-2</v>
      </c>
      <c r="AT38" s="28">
        <f>CORREL('DATASET 25%'!$AK2:$AK21,'DATASET 25%'!AT2:AT21)</f>
        <v>0.24609472632989152</v>
      </c>
      <c r="AU38" s="28">
        <f>CORREL('DATASET 25%'!$AK2:$AK21,'DATASET 25%'!AU2:AU21)</f>
        <v>0.38672028423268662</v>
      </c>
      <c r="AV38" s="28">
        <f>CORREL('DATASET 25%'!$AK2:$AK21,'DATASET 25%'!AV2:AV21)</f>
        <v>0.71292334815585534</v>
      </c>
      <c r="AW38" s="28">
        <f>CORREL('DATASET 25%'!$AK2:$AK21,'DATASET 25%'!AW2:AW21)</f>
        <v>0.31436334444974512</v>
      </c>
      <c r="AX38" s="28">
        <f>CORREL('DATASET 25%'!$AK2:$AK21,'DATASET 25%'!AX2:AX21)</f>
        <v>-6.9534371477505602E-2</v>
      </c>
      <c r="AY38" s="28">
        <f>CORREL('DATASET 25%'!$AK2:$AK21,'DATASET 25%'!AY2:AY21)</f>
        <v>0.25680396387530496</v>
      </c>
    </row>
    <row r="39" spans="1:51" ht="20" customHeight="1" x14ac:dyDescent="0.15">
      <c r="A39" s="30" t="s">
        <v>37</v>
      </c>
      <c r="B39" s="29">
        <f>CORREL('DATASET 25%'!$AL2:$AL21,'DATASET 25%'!B2:B21)</f>
        <v>0.57249230093014936</v>
      </c>
      <c r="C39" s="28">
        <f>CORREL('DATASET 25%'!$AL2:$AL21,'DATASET 25%'!C2:C21)</f>
        <v>0.21611067700719858</v>
      </c>
      <c r="D39" s="28">
        <f>CORREL('DATASET 25%'!$AL2:$AL21,'DATASET 25%'!D2:D21)</f>
        <v>4.8261708906583975E-2</v>
      </c>
      <c r="E39" s="28">
        <f>CORREL('DATASET 25%'!$AL2:$AL21,'DATASET 25%'!E2:E21)</f>
        <v>0.11489312875225723</v>
      </c>
      <c r="F39" s="28">
        <f>CORREL('DATASET 25%'!$AL2:$AL21,'DATASET 25%'!F2:F21)</f>
        <v>0.17999124543872769</v>
      </c>
      <c r="G39" s="28">
        <f>CORREL('DATASET 25%'!$AL2:$AL21,'DATASET 25%'!G2:G21)</f>
        <v>-0.4311239909182914</v>
      </c>
      <c r="H39" s="28">
        <f>CORREL('DATASET 25%'!$AL2:$AL21,'DATASET 25%'!H2:H21)</f>
        <v>0.10033500931359765</v>
      </c>
      <c r="I39" s="42">
        <f>CORREL('DATASET 25%'!$AL2:$AL21,'DATASET 25%'!I2:I21)</f>
        <v>-0.32219166852103398</v>
      </c>
      <c r="J39" s="28">
        <f>CORREL('DATASET 25%'!$AL2:$AL21,'DATASET 25%'!J2:J21)</f>
        <v>-5.3877245844036588E-2</v>
      </c>
      <c r="K39" s="28">
        <f>CORREL('DATASET 25%'!$AL2:$AL21,'DATASET 25%'!K2:K21)</f>
        <v>0.2042262839149466</v>
      </c>
      <c r="L39" s="28">
        <f>CORREL('DATASET 25%'!$AL2:$AL21,'DATASET 25%'!L2:L21)</f>
        <v>-0.15628391946202996</v>
      </c>
      <c r="M39" s="28">
        <f>CORREL('DATASET 25%'!$AL2:$AL21,'DATASET 25%'!M2:M21)</f>
        <v>-0.23450882356048283</v>
      </c>
      <c r="N39" s="28">
        <f>CORREL('DATASET 25%'!$AL2:$AL21,'DATASET 25%'!N2:N21)</f>
        <v>0.4385290096535146</v>
      </c>
      <c r="O39" s="28">
        <f>CORREL('DATASET 25%'!$AL2:$AL21,'DATASET 25%'!O2:O21)</f>
        <v>-0.13133002154811182</v>
      </c>
      <c r="P39" s="28">
        <f>CORREL('DATASET 25%'!$AL2:$AL21,'DATASET 25%'!P2:P21)</f>
        <v>0.11111111111111109</v>
      </c>
      <c r="Q39" s="28">
        <f>CORREL('DATASET 25%'!$AL2:$AL21,'DATASET 25%'!Q2:Q21)</f>
        <v>0.13184425208671466</v>
      </c>
      <c r="R39" s="28">
        <f>CORREL('DATASET 25%'!$AL2:$AL21,'DATASET 25%'!R2:R21)</f>
        <v>0.60421797811664379</v>
      </c>
      <c r="S39" s="38">
        <f>CORREL('DATASET 25%'!$AL2:$AL21,'DATASET 25%'!S2:S21)</f>
        <v>0.15777241230845432</v>
      </c>
      <c r="T39" s="28">
        <f>CORREL('DATASET 25%'!$AL2:$AL21,'DATASET 25%'!T2:T21)</f>
        <v>0.43971867004796422</v>
      </c>
      <c r="U39" s="28">
        <f>CORREL('DATASET 25%'!$AL2:$AL21,'DATASET 25%'!U2:U21)</f>
        <v>6.477502756312957E-2</v>
      </c>
      <c r="V39" s="28">
        <f>CORREL('DATASET 25%'!$AL2:$AL21,'DATASET 25%'!V2:V21)</f>
        <v>0.58371723158701849</v>
      </c>
      <c r="W39" s="28">
        <f>CORREL('DATASET 25%'!$AL2:$AL21,'DATASET 25%'!W2:W21)</f>
        <v>-0.10611626162285512</v>
      </c>
      <c r="X39" s="28">
        <f>CORREL('DATASET 25%'!$AL2:$AL21,'DATASET 25%'!X2:X21)</f>
        <v>-0.26035958758213296</v>
      </c>
      <c r="Y39" s="28">
        <f>CORREL('DATASET 25%'!$AL2:$AL21,'DATASET 25%'!Y2:Y21)</f>
        <v>-9.9136319419321911E-2</v>
      </c>
      <c r="Z39" s="28">
        <f>CORREL('DATASET 25%'!$AL2:$AL21,'DATASET 25%'!Z2:Z21)</f>
        <v>-0.15018785229652767</v>
      </c>
      <c r="AA39" s="28">
        <f>CORREL('DATASET 25%'!$AL2:$AL21,'DATASET 25%'!AA2:AA21)</f>
        <v>-0.18811881188118817</v>
      </c>
      <c r="AB39" s="28">
        <f>CORREL('DATASET 25%'!$AL2:$AL21,'DATASET 25%'!AB2:AB21)</f>
        <v>0.50917507721731559</v>
      </c>
      <c r="AC39" s="28">
        <f>CORREL('DATASET 25%'!$AL2:$AL21,'DATASET 25%'!AC2:AC21)</f>
        <v>0.13428793245291837</v>
      </c>
      <c r="AD39" s="28">
        <f>CORREL('DATASET 25%'!$AL2:$AL21,'DATASET 25%'!AD2:AD21)</f>
        <v>-0.12817812584441657</v>
      </c>
      <c r="AE39" s="28">
        <f>CORREL('DATASET 25%'!$AL2:$AL21,'DATASET 25%'!AE2:AE21)</f>
        <v>0.13323701002475291</v>
      </c>
      <c r="AF39" s="28">
        <f>CORREL('DATASET 25%'!$AL2:$AL21,'DATASET 25%'!AF2:AF21)</f>
        <v>-0.33954987505086615</v>
      </c>
      <c r="AG39" s="28">
        <f>CORREL('DATASET 25%'!$AL2:$AL21,'DATASET 25%'!AG2:AG21)</f>
        <v>-0.15174424466672107</v>
      </c>
      <c r="AH39" s="28">
        <f>CORREL('DATASET 25%'!$AL2:$AL21,'DATASET 25%'!AH2:AH21)</f>
        <v>-0.41459249461708658</v>
      </c>
      <c r="AI39" s="28">
        <f>CORREL('DATASET 25%'!$AL2:$AL21,'DATASET 25%'!AI2:AI21)</f>
        <v>-0.25649458802128855</v>
      </c>
      <c r="AJ39" s="28">
        <f>CORREL('DATASET 25%'!$AL2:$AL21,'DATASET 25%'!AJ2:AJ21)</f>
        <v>0.38851434494290571</v>
      </c>
      <c r="AK39" s="28">
        <f>CORREL('DATASET 25%'!$AL2:$AL21,'DATASET 25%'!AK2:AK21)</f>
        <v>0.15544635336100424</v>
      </c>
      <c r="AL39" s="28">
        <f>CORREL('DATASET 25%'!$AL2:$AL21,'DATASET 25%'!AL2:AL21)</f>
        <v>1</v>
      </c>
      <c r="AM39" s="28">
        <f>CORREL('DATASET 25%'!$AL2:$AL21,'DATASET 25%'!AM2:AM21)</f>
        <v>0.41753340038353254</v>
      </c>
      <c r="AN39" s="28">
        <f>CORREL('DATASET 25%'!$AL2:$AL21,'DATASET 25%'!AN2:AN21)</f>
        <v>0</v>
      </c>
      <c r="AO39" s="28">
        <f>CORREL('DATASET 25%'!$AL2:$AL21,'DATASET 25%'!AO2:AO21)</f>
        <v>-0.25819888974716104</v>
      </c>
      <c r="AP39" s="28">
        <f>CORREL('DATASET 25%'!$AL2:$AL21,'DATASET 25%'!AP2:AP21)</f>
        <v>5.0507627227610527E-2</v>
      </c>
      <c r="AQ39" s="28">
        <f>CORREL('DATASET 25%'!$AL2:$AL21,'DATASET 25%'!AQ2:AQ21)</f>
        <v>-0.19174124721184249</v>
      </c>
      <c r="AR39" s="28">
        <f>CORREL('DATASET 25%'!$AL2:$AL21,'DATASET 25%'!AR2:AR21)</f>
        <v>0.27955307234080506</v>
      </c>
      <c r="AS39" s="28">
        <f>CORREL('DATASET 25%'!$AL2:$AL21,'DATASET 25%'!AS2:AS21)</f>
        <v>-0.47368648068904989</v>
      </c>
      <c r="AT39" s="28">
        <f>CORREL('DATASET 25%'!$AL2:$AL21,'DATASET 25%'!AT2:AT21)</f>
        <v>0.11526067913468745</v>
      </c>
      <c r="AU39" s="28">
        <f>CORREL('DATASET 25%'!$AL2:$AL21,'DATASET 25%'!AU2:AU21)</f>
        <v>0.26784161445672061</v>
      </c>
      <c r="AV39" s="28">
        <f>CORREL('DATASET 25%'!$AL2:$AL21,'DATASET 25%'!AV2:AV21)</f>
        <v>0.1708729456623313</v>
      </c>
      <c r="AW39" s="28">
        <f>CORREL('DATASET 25%'!$AL2:$AL21,'DATASET 25%'!AW2:AW21)</f>
        <v>-0.11065666703449763</v>
      </c>
      <c r="AX39" s="28">
        <f>CORREL('DATASET 25%'!$AL2:$AL21,'DATASET 25%'!AX2:AX21)</f>
        <v>-0.45850493480288257</v>
      </c>
      <c r="AY39" s="28">
        <f>CORREL('DATASET 25%'!$AL2:$AL21,'DATASET 25%'!AY2:AY21)</f>
        <v>0.38748758375718612</v>
      </c>
    </row>
    <row r="40" spans="1:51" ht="20" customHeight="1" x14ac:dyDescent="0.15">
      <c r="A40" s="30" t="s">
        <v>38</v>
      </c>
      <c r="B40" s="29">
        <f>CORREL('DATASET 25%'!$AM2:$AM21,'DATASET 25%'!B2:B21)</f>
        <v>0.54594072578591579</v>
      </c>
      <c r="C40" s="28">
        <f>CORREL('DATASET 25%'!$AM2:$AM21,'DATASET 25%'!C2:C21)</f>
        <v>0.23775807743661137</v>
      </c>
      <c r="D40" s="28">
        <f>CORREL('DATASET 25%'!$AM2:$AM21,'DATASET 25%'!D2:D21)</f>
        <v>-0.19130532955455598</v>
      </c>
      <c r="E40" s="28">
        <f>CORREL('DATASET 25%'!$AM2:$AM21,'DATASET 25%'!E2:E21)</f>
        <v>0.60542349691721487</v>
      </c>
      <c r="F40" s="28">
        <f>CORREL('DATASET 25%'!$AM2:$AM21,'DATASET 25%'!F2:F21)</f>
        <v>0.19523812982535191</v>
      </c>
      <c r="G40" s="28">
        <f>CORREL('DATASET 25%'!$AM2:$AM21,'DATASET 25%'!G2:G21)</f>
        <v>0.14607764570615614</v>
      </c>
      <c r="H40" s="28">
        <f>CORREL('DATASET 25%'!$AM2:$AM21,'DATASET 25%'!H2:H21)</f>
        <v>-0.10576238616172545</v>
      </c>
      <c r="I40" s="42">
        <f>CORREL('DATASET 25%'!$AM2:$AM21,'DATASET 25%'!I2:I21)</f>
        <v>-0.40760780785470396</v>
      </c>
      <c r="J40" s="28">
        <f>CORREL('DATASET 25%'!$AM2:$AM21,'DATASET 25%'!J2:J21)</f>
        <v>-0.37552005303802682</v>
      </c>
      <c r="K40" s="28">
        <f>CORREL('DATASET 25%'!$AM2:$AM21,'DATASET 25%'!K2:K21)</f>
        <v>0.69560834364025248</v>
      </c>
      <c r="L40" s="28">
        <f>CORREL('DATASET 25%'!$AM2:$AM21,'DATASET 25%'!L2:L21)</f>
        <v>-9.501461875826149E-2</v>
      </c>
      <c r="M40" s="28">
        <f>CORREL('DATASET 25%'!$AM2:$AM21,'DATASET 25%'!M2:M21)</f>
        <v>-0.62311066874856569</v>
      </c>
      <c r="N40" s="28">
        <f>CORREL('DATASET 25%'!$AM2:$AM21,'DATASET 25%'!N2:N21)</f>
        <v>0.29880715233359845</v>
      </c>
      <c r="O40" s="28">
        <f>CORREL('DATASET 25%'!$AM2:$AM21,'DATASET 25%'!O2:O21)</f>
        <v>0.28800102400546129</v>
      </c>
      <c r="P40" s="28">
        <f>CORREL('DATASET 25%'!$AM2:$AM21,'DATASET 25%'!P2:P21)</f>
        <v>-0.20761369963435</v>
      </c>
      <c r="Q40" s="28">
        <f>CORREL('DATASET 25%'!$AM2:$AM21,'DATASET 25%'!Q2:Q21)</f>
        <v>0.15118578920369091</v>
      </c>
      <c r="R40" s="28">
        <f>CORREL('DATASET 25%'!$AM2:$AM21,'DATASET 25%'!R2:R21)</f>
        <v>-0.30263639081698168</v>
      </c>
      <c r="S40" s="38">
        <f>CORREL('DATASET 25%'!$AM2:$AM21,'DATASET 25%'!S2:S21)</f>
        <v>-0.42341515917871025</v>
      </c>
      <c r="T40" s="28">
        <f>CORREL('DATASET 25%'!$AM2:$AM21,'DATASET 25%'!T2:T21)</f>
        <v>0.5745811871875518</v>
      </c>
      <c r="U40" s="28">
        <f>CORREL('DATASET 25%'!$AM2:$AM21,'DATASET 25%'!U2:U21)</f>
        <v>-0.31374750995027834</v>
      </c>
      <c r="V40" s="28">
        <f>CORREL('DATASET 25%'!$AM2:$AM21,'DATASET 25%'!V2:V21)</f>
        <v>-2.4056261216234436E-2</v>
      </c>
      <c r="W40" s="28">
        <f>CORREL('DATASET 25%'!$AM2:$AM21,'DATASET 25%'!W2:W21)</f>
        <v>-0.50491861765785218</v>
      </c>
      <c r="X40" s="28">
        <f>CORREL('DATASET 25%'!$AM2:$AM21,'DATASET 25%'!X2:X21)</f>
        <v>0.51777370855837901</v>
      </c>
      <c r="Y40" s="28">
        <f>CORREL('DATASET 25%'!$AM2:$AM21,'DATASET 25%'!Y2:Y21)</f>
        <v>0.49647229162887496</v>
      </c>
      <c r="Z40" s="28">
        <f>CORREL('DATASET 25%'!$AM2:$AM21,'DATASET 25%'!Z2:Z21)</f>
        <v>0.1486596055499361</v>
      </c>
      <c r="AA40" s="28">
        <f>CORREL('DATASET 25%'!$AM2:$AM21,'DATASET 25%'!AA2:AA21)</f>
        <v>0.23939494881986911</v>
      </c>
      <c r="AB40" s="28">
        <f>CORREL('DATASET 25%'!$AM2:$AM21,'DATASET 25%'!AB2:AB21)</f>
        <v>0.60159309938555239</v>
      </c>
      <c r="AC40" s="28">
        <f>CORREL('DATASET 25%'!$AM2:$AM21,'DATASET 25%'!AC2:AC21)</f>
        <v>0.25677248039750661</v>
      </c>
      <c r="AD40" s="28">
        <f>CORREL('DATASET 25%'!$AM2:$AM21,'DATASET 25%'!AD2:AD21)</f>
        <v>-0.28306925853614895</v>
      </c>
      <c r="AE40" s="28">
        <f>CORREL('DATASET 25%'!$AM2:$AM21,'DATASET 25%'!AE2:AE21)</f>
        <v>-0.57894308136956851</v>
      </c>
      <c r="AF40" s="28">
        <f>CORREL('DATASET 25%'!$AM2:$AM21,'DATASET 25%'!AF2:AF21)</f>
        <v>-0.44184440301589933</v>
      </c>
      <c r="AG40" s="28">
        <f>CORREL('DATASET 25%'!$AM2:$AM21,'DATASET 25%'!AG2:AG21)</f>
        <v>0.28427738894389903</v>
      </c>
      <c r="AH40" s="28">
        <f>CORREL('DATASET 25%'!$AM2:$AM21,'DATASET 25%'!AH2:AH21)</f>
        <v>0.46239232314079082</v>
      </c>
      <c r="AI40" s="28">
        <f>CORREL('DATASET 25%'!$AM2:$AM21,'DATASET 25%'!AI2:AI21)</f>
        <v>-0.46637122986327118</v>
      </c>
      <c r="AJ40" s="28">
        <f>CORREL('DATASET 25%'!$AM2:$AM21,'DATASET 25%'!AJ2:AJ21)</f>
        <v>0.11331741716232274</v>
      </c>
      <c r="AK40" s="28">
        <f>CORREL('DATASET 25%'!$AM2:$AM21,'DATASET 25%'!AK2:AK21)</f>
        <v>0.23022170896367425</v>
      </c>
      <c r="AL40" s="28">
        <f>CORREL('DATASET 25%'!$AM2:$AM21,'DATASET 25%'!AL2:AL21)</f>
        <v>0.41753340038353254</v>
      </c>
      <c r="AM40" s="28">
        <f>CORREL('DATASET 25%'!$AM2:$AM21,'DATASET 25%'!AM2:AM21)</f>
        <v>0.99999999999999989</v>
      </c>
      <c r="AN40" s="28">
        <f>CORREL('DATASET 25%'!$AM2:$AM21,'DATASET 25%'!AN2:AN21)</f>
        <v>0.14721354090363767</v>
      </c>
      <c r="AO40" s="28">
        <f>CORREL('DATASET 25%'!$AM2:$AM21,'DATASET 25%'!AO2:AO21)</f>
        <v>-0.34299717028501775</v>
      </c>
      <c r="AP40" s="28">
        <f>CORREL('DATASET 25%'!$AM2:$AM21,'DATASET 25%'!AP2:AP21)</f>
        <v>-0.47284059919322957</v>
      </c>
      <c r="AQ40" s="28">
        <f>CORREL('DATASET 25%'!$AM2:$AM21,'DATASET 25%'!AQ2:AQ21)</f>
        <v>-0.17960530202677488</v>
      </c>
      <c r="AR40" s="28">
        <f>CORREL('DATASET 25%'!$AM2:$AM21,'DATASET 25%'!AR2:AR21)</f>
        <v>-2.6343168488691591E-2</v>
      </c>
      <c r="AS40" s="28">
        <f>CORREL('DATASET 25%'!$AM2:$AM21,'DATASET 25%'!AS2:AS21)</f>
        <v>-0.3282439759448873</v>
      </c>
      <c r="AT40" s="28">
        <f>CORREL('DATASET 25%'!$AM2:$AM21,'DATASET 25%'!AT2:AT21)</f>
        <v>0.58038100008800941</v>
      </c>
      <c r="AU40" s="28">
        <f>CORREL('DATASET 25%'!$AM2:$AM21,'DATASET 25%'!AU2:AU21)</f>
        <v>4.5230235436850591E-2</v>
      </c>
      <c r="AV40" s="28">
        <f>CORREL('DATASET 25%'!$AM2:$AM21,'DATASET 25%'!AV2:AV21)</f>
        <v>0.32824427480916041</v>
      </c>
      <c r="AW40" s="28">
        <f>CORREL('DATASET 25%'!$AM2:$AM21,'DATASET 25%'!AW2:AW21)</f>
        <v>0.57411483445148415</v>
      </c>
      <c r="AX40" s="28">
        <f>CORREL('DATASET 25%'!$AM2:$AM21,'DATASET 25%'!AX2:AX21)</f>
        <v>-0.28097574347450827</v>
      </c>
      <c r="AY40" s="28">
        <f>CORREL('DATASET 25%'!$AM2:$AM21,'DATASET 25%'!AY2:AY21)</f>
        <v>-0.33120206814197345</v>
      </c>
    </row>
    <row r="41" spans="1:51" ht="20" customHeight="1" x14ac:dyDescent="0.15">
      <c r="A41" s="30" t="s">
        <v>39</v>
      </c>
      <c r="B41" s="29">
        <f>CORREL('DATASET 25%'!$AN2:$AN21,'DATASET 25%'!B2:B21)</f>
        <v>-6.956083436402527E-2</v>
      </c>
      <c r="C41" s="28">
        <f>CORREL('DATASET 25%'!$AN2:$AN21,'DATASET 25%'!C2:C21)</f>
        <v>-0.24925019678817312</v>
      </c>
      <c r="D41" s="28">
        <f>CORREL('DATASET 25%'!$AN2:$AN21,'DATASET 25%'!D2:D21)</f>
        <v>0.20297414089646781</v>
      </c>
      <c r="E41" s="28">
        <f>CORREL('DATASET 25%'!$AN2:$AN21,'DATASET 25%'!E2:E21)</f>
        <v>2.5983731852596833E-2</v>
      </c>
      <c r="F41" s="28">
        <f>CORREL('DATASET 25%'!$AN2:$AN21,'DATASET 25%'!F2:F21)</f>
        <v>0.22730751835249818</v>
      </c>
      <c r="G41" s="28">
        <f>CORREL('DATASET 25%'!$AN2:$AN21,'DATASET 25%'!G2:G21)</f>
        <v>0.4277982258379287</v>
      </c>
      <c r="H41" s="28">
        <f>CORREL('DATASET 25%'!$AN2:$AN21,'DATASET 25%'!H2:H21)</f>
        <v>-0.35668818750321091</v>
      </c>
      <c r="I41" s="42">
        <f>CORREL('DATASET 25%'!$AN2:$AN21,'DATASET 25%'!I2:I21)</f>
        <v>-1.1646819280339451E-2</v>
      </c>
      <c r="J41" s="28">
        <f>CORREL('DATASET 25%'!$AN2:$AN21,'DATASET 25%'!J2:J21)</f>
        <v>-0.56294713590141876</v>
      </c>
      <c r="K41" s="28">
        <f>CORREL('DATASET 25%'!$AN2:$AN21,'DATASET 25%'!K2:K21)</f>
        <v>0.15230499150902668</v>
      </c>
      <c r="L41" s="28">
        <f>CORREL('DATASET 25%'!$AN2:$AN21,'DATASET 25%'!L2:L21)</f>
        <v>-0.34746468499269551</v>
      </c>
      <c r="M41" s="28">
        <f>CORREL('DATASET 25%'!$AN2:$AN21,'DATASET 25%'!M2:M21)</f>
        <v>3.0498137976084218E-2</v>
      </c>
      <c r="N41" s="28">
        <f>CORREL('DATASET 25%'!$AN2:$AN21,'DATASET 25%'!N2:N21)</f>
        <v>-6.6648895996840971E-2</v>
      </c>
      <c r="O41" s="28">
        <f>CORREL('DATASET 25%'!$AN2:$AN21,'DATASET 25%'!O2:O21)</f>
        <v>0.31271995857726703</v>
      </c>
      <c r="P41" s="28">
        <f>CORREL('DATASET 25%'!$AN2:$AN21,'DATASET 25%'!P2:P21)</f>
        <v>-0.69894261484284936</v>
      </c>
      <c r="Q41" s="28">
        <f>CORREL('DATASET 25%'!$AN2:$AN21,'DATASET 25%'!Q2:Q21)</f>
        <v>-7.719535846557378E-2</v>
      </c>
      <c r="R41" s="28">
        <f>CORREL('DATASET 25%'!$AN2:$AN21,'DATASET 25%'!R2:R21)</f>
        <v>0.11012350542411381</v>
      </c>
      <c r="S41" s="38">
        <f>CORREL('DATASET 25%'!$AN2:$AN21,'DATASET 25%'!S2:S21)</f>
        <v>-0.33643504590579115</v>
      </c>
      <c r="T41" s="28">
        <f>CORREL('DATASET 25%'!$AN2:$AN21,'DATASET 25%'!T2:T21)</f>
        <v>7.2488037629274998E-2</v>
      </c>
      <c r="U41" s="28">
        <f>CORREL('DATASET 25%'!$AN2:$AN21,'DATASET 25%'!U2:U21)</f>
        <v>-0.25993762245501822</v>
      </c>
      <c r="V41" s="28">
        <f>CORREL('DATASET 25%'!$AN2:$AN21,'DATASET 25%'!V2:V21)</f>
        <v>-0.36404686577682244</v>
      </c>
      <c r="W41" s="28">
        <f>CORREL('DATASET 25%'!$AN2:$AN21,'DATASET 25%'!W2:W21)</f>
        <v>3.9073233258228167E-2</v>
      </c>
      <c r="X41" s="28">
        <f>CORREL('DATASET 25%'!$AN2:$AN21,'DATASET 25%'!X2:X21)</f>
        <v>-0.19601021831382362</v>
      </c>
      <c r="Y41" s="28">
        <f>CORREL('DATASET 25%'!$AN2:$AN21,'DATASET 25%'!Y2:Y21)</f>
        <v>0.16257980604187627</v>
      </c>
      <c r="Z41" s="28">
        <f>CORREL('DATASET 25%'!$AN2:$AN21,'DATASET 25%'!Z2:Z21)</f>
        <v>-0.22420780262065115</v>
      </c>
      <c r="AA41" s="28">
        <f>CORREL('DATASET 25%'!$AN2:$AN21,'DATASET 25%'!AA2:AA21)</f>
        <v>-0.1478316761614675</v>
      </c>
      <c r="AB41" s="28">
        <f>CORREL('DATASET 25%'!$AN2:$AN21,'DATASET 25%'!AB2:AB21)</f>
        <v>0.70258793591429369</v>
      </c>
      <c r="AC41" s="28">
        <f>CORREL('DATASET 25%'!$AN2:$AN21,'DATASET 25%'!AC2:AC21)</f>
        <v>7.4905948892156307E-2</v>
      </c>
      <c r="AD41" s="28">
        <f>CORREL('DATASET 25%'!$AN2:$AN21,'DATASET 25%'!AD2:AD21)</f>
        <v>-0.56674433695357807</v>
      </c>
      <c r="AE41" s="28">
        <f>CORREL('DATASET 25%'!$AN2:$AN21,'DATASET 25%'!AE2:AE21)</f>
        <v>0</v>
      </c>
      <c r="AF41" s="28">
        <f>CORREL('DATASET 25%'!$AN2:$AN21,'DATASET 25%'!AF2:AF21)</f>
        <v>-0.67884423330213062</v>
      </c>
      <c r="AG41" s="28">
        <f>CORREL('DATASET 25%'!$AN2:$AN21,'DATASET 25%'!AG2:AG21)</f>
        <v>0.32732683535398854</v>
      </c>
      <c r="AH41" s="28">
        <f>CORREL('DATASET 25%'!$AN2:$AN21,'DATASET 25%'!AH2:AH21)</f>
        <v>0.47599926644219553</v>
      </c>
      <c r="AI41" s="28">
        <f>CORREL('DATASET 25%'!$AN2:$AN21,'DATASET 25%'!AI2:AI21)</f>
        <v>-8.3000970194788498E-2</v>
      </c>
      <c r="AJ41" s="28">
        <f>CORREL('DATASET 25%'!$AN2:$AN21,'DATASET 25%'!AJ2:AJ21)</f>
        <v>0.43967877187142834</v>
      </c>
      <c r="AK41" s="28">
        <f>CORREL('DATASET 25%'!$AN2:$AN21,'DATASET 25%'!AK2:AK21)</f>
        <v>0.3491821715756136</v>
      </c>
      <c r="AL41" s="28">
        <f>CORREL('DATASET 25%'!$AN2:$AN21,'DATASET 25%'!AL2:AL21)</f>
        <v>0</v>
      </c>
      <c r="AM41" s="28">
        <f>CORREL('DATASET 25%'!$AN2:$AN21,'DATASET 25%'!AM2:AM21)</f>
        <v>0.14721354090363767</v>
      </c>
      <c r="AN41" s="28">
        <f>CORREL('DATASET 25%'!$AN2:$AN21,'DATASET 25%'!AN2:AN21)</f>
        <v>1.0000000000000002</v>
      </c>
      <c r="AO41" s="28">
        <f>CORREL('DATASET 25%'!$AN2:$AN21,'DATASET 25%'!AO2:AO21)</f>
        <v>8.0373803695068705E-2</v>
      </c>
      <c r="AP41" s="28">
        <f>CORREL('DATASET 25%'!$AN2:$AN21,'DATASET 25%'!AP2:AP21)</f>
        <v>-0.12833307154304638</v>
      </c>
      <c r="AQ41" s="28">
        <f>CORREL('DATASET 25%'!$AN2:$AN21,'DATASET 25%'!AQ2:AQ21)</f>
        <v>-0.54999387401636135</v>
      </c>
      <c r="AR41" s="28">
        <f>CORREL('DATASET 25%'!$AN2:$AN21,'DATASET 25%'!AR2:AR21)</f>
        <v>-8.0178372573727383E-2</v>
      </c>
      <c r="AS41" s="28">
        <f>CORREL('DATASET 25%'!$AN2:$AN21,'DATASET 25%'!AS2:AS21)</f>
        <v>0</v>
      </c>
      <c r="AT41" s="28">
        <f>CORREL('DATASET 25%'!$AN2:$AN21,'DATASET 25%'!AT2:AT21)</f>
        <v>-0.12909944487358058</v>
      </c>
      <c r="AU41" s="28">
        <f>CORREL('DATASET 25%'!$AN2:$AN21,'DATASET 25%'!AU2:AU21)</f>
        <v>0.54330536799443285</v>
      </c>
      <c r="AV41" s="28">
        <f>CORREL('DATASET 25%'!$AN2:$AN21,'DATASET 25%'!AV2:AV21)</f>
        <v>0.2241823631750787</v>
      </c>
      <c r="AW41" s="28">
        <f>CORREL('DATASET 25%'!$AN2:$AN21,'DATASET 25%'!AW2:AW21)</f>
        <v>0.297516602952269</v>
      </c>
      <c r="AX41" s="28">
        <f>CORREL('DATASET 25%'!$AN2:$AN21,'DATASET 25%'!AX2:AX21)</f>
        <v>-0.16265661307983256</v>
      </c>
      <c r="AY41" s="28">
        <f>CORREL('DATASET 25%'!$AN2:$AN21,'DATASET 25%'!AY2:AY21)</f>
        <v>-0.24140227479263382</v>
      </c>
    </row>
    <row r="42" spans="1:51" ht="20" customHeight="1" x14ac:dyDescent="0.15">
      <c r="A42" s="30" t="s">
        <v>40</v>
      </c>
      <c r="B42" s="29">
        <f>CORREL('DATASET 25%'!$AO2:$AO21,'DATASET 25%'!B2:B21)</f>
        <v>-0.31195956247511047</v>
      </c>
      <c r="C42" s="28">
        <f>CORREL('DATASET 25%'!$AO2:$AO21,'DATASET 25%'!C2:C21)</f>
        <v>-0.42020903161652873</v>
      </c>
      <c r="D42" s="28">
        <f>CORREL('DATASET 25%'!$AO2:$AO21,'DATASET 25%'!D2:D21)</f>
        <v>0.46693505807888436</v>
      </c>
      <c r="E42" s="28">
        <f>CORREL('DATASET 25%'!$AO2:$AO21,'DATASET 25%'!E2:E21)</f>
        <v>-0.53832509036098686</v>
      </c>
      <c r="F42" s="28">
        <f>CORREL('DATASET 25%'!$AO2:$AO21,'DATASET 25%'!F2:F21)</f>
        <v>-0.19388493471157059</v>
      </c>
      <c r="G42" s="28">
        <f>CORREL('DATASET 25%'!$AO2:$AO21,'DATASET 25%'!G2:G21)</f>
        <v>0.15291172333676692</v>
      </c>
      <c r="H42" s="28">
        <f>CORREL('DATASET 25%'!$AO2:$AO21,'DATASET 25%'!H2:H21)</f>
        <v>9.3180195291108395E-2</v>
      </c>
      <c r="I42" s="42">
        <f>CORREL('DATASET 25%'!$AO2:$AO21,'DATASET 25%'!I2:I21)</f>
        <v>0.558500867412006</v>
      </c>
      <c r="J42" s="28">
        <f>CORREL('DATASET 25%'!$AO2:$AO21,'DATASET 25%'!J2:J21)</f>
        <v>0.51326490257473656</v>
      </c>
      <c r="K42" s="28">
        <f>CORREL('DATASET 25%'!$AO2:$AO21,'DATASET 25%'!K2:K21)</f>
        <v>-0.14617633655117157</v>
      </c>
      <c r="L42" s="28">
        <f>CORREL('DATASET 25%'!$AO2:$AO21,'DATASET 25%'!L2:L21)</f>
        <v>0.35654474145668474</v>
      </c>
      <c r="M42" s="28">
        <f>CORREL('DATASET 25%'!$AO2:$AO21,'DATASET 25%'!M2:M21)</f>
        <v>0.65955213655170297</v>
      </c>
      <c r="N42" s="28">
        <f>CORREL('DATASET 25%'!$AO2:$AO21,'DATASET 25%'!N2:N21)</f>
        <v>0.1579345138264476</v>
      </c>
      <c r="O42" s="28">
        <f>CORREL('DATASET 25%'!$AO2:$AO21,'DATASET 25%'!O2:O21)</f>
        <v>-0.33048579940268008</v>
      </c>
      <c r="P42" s="28">
        <f>CORREL('DATASET 25%'!$AO2:$AO21,'DATASET 25%'!P2:P21)</f>
        <v>0.44946657497549475</v>
      </c>
      <c r="Q42" s="28">
        <f>CORREL('DATASET 25%'!$AO2:$AO21,'DATASET 25%'!Q2:Q21)</f>
        <v>-0.31622776601683794</v>
      </c>
      <c r="R42" s="28">
        <f>CORREL('DATASET 25%'!$AO2:$AO21,'DATASET 25%'!R2:R21)</f>
        <v>0.60276378111510298</v>
      </c>
      <c r="S42" s="38">
        <f>CORREL('DATASET 25%'!$AO2:$AO21,'DATASET 25%'!S2:S21)</f>
        <v>0.15439451886219518</v>
      </c>
      <c r="T42" s="28">
        <f>CORREL('DATASET 25%'!$AO2:$AO21,'DATASET 25%'!T2:T21)</f>
        <v>-0.48215016335080957</v>
      </c>
      <c r="U42" s="28">
        <f>CORREL('DATASET 25%'!$AO2:$AO21,'DATASET 25%'!U2:U21)</f>
        <v>0.44107543608759225</v>
      </c>
      <c r="V42" s="28">
        <f>CORREL('DATASET 25%'!$AO2:$AO21,'DATASET 25%'!V2:V21)</f>
        <v>7.3127242412712984E-2</v>
      </c>
      <c r="W42" s="28">
        <f>CORREL('DATASET 25%'!$AO2:$AO21,'DATASET 25%'!W2:W21)</f>
        <v>0.55492756861953996</v>
      </c>
      <c r="X42" s="28">
        <f>CORREL('DATASET 25%'!$AO2:$AO21,'DATASET 25%'!X2:X21)</f>
        <v>-0.34671142188951598</v>
      </c>
      <c r="Y42" s="28">
        <f>CORREL('DATASET 25%'!$AO2:$AO21,'DATASET 25%'!Y2:Y21)</f>
        <v>-0.55830172283178814</v>
      </c>
      <c r="Z42" s="28">
        <f>CORREL('DATASET 25%'!$AO2:$AO21,'DATASET 25%'!Z2:Z21)</f>
        <v>0.28867513459481287</v>
      </c>
      <c r="AA42" s="28">
        <f>CORREL('DATASET 25%'!$AO2:$AO21,'DATASET 25%'!AA2:AA21)</f>
        <v>0</v>
      </c>
      <c r="AB42" s="28">
        <f>CORREL('DATASET 25%'!$AO2:$AO21,'DATASET 25%'!AB2:AB21)</f>
        <v>-0.21259760138109357</v>
      </c>
      <c r="AC42" s="28">
        <f>CORREL('DATASET 25%'!$AO2:$AO21,'DATASET 25%'!AC2:AC21)</f>
        <v>-0.71784253607755411</v>
      </c>
      <c r="AD42" s="28">
        <f>CORREL('DATASET 25%'!$AO2:$AO21,'DATASET 25%'!AD2:AD21)</f>
        <v>0.50715051620848717</v>
      </c>
      <c r="AE42" s="28">
        <f>CORREL('DATASET 25%'!$AO2:$AO21,'DATASET 25%'!AE2:AE21)</f>
        <v>0.13589647625005566</v>
      </c>
      <c r="AF42" s="28">
        <f>CORREL('DATASET 25%'!$AO2:$AO21,'DATASET 25%'!AF2:AF21)</f>
        <v>0.12309149097933271</v>
      </c>
      <c r="AG42" s="28">
        <f>CORREL('DATASET 25%'!$AO2:$AO21,'DATASET 25%'!AG2:AG21)</f>
        <v>-0.30987534150481755</v>
      </c>
      <c r="AH42" s="28">
        <f>CORREL('DATASET 25%'!$AO2:$AO21,'DATASET 25%'!AH2:AH21)</f>
        <v>-0.57448608304442361</v>
      </c>
      <c r="AI42" s="28">
        <f>CORREL('DATASET 25%'!$AO2:$AO21,'DATASET 25%'!AI2:AI21)</f>
        <v>0.26709196421662046</v>
      </c>
      <c r="AJ42" s="28">
        <f>CORREL('DATASET 25%'!$AO2:$AO21,'DATASET 25%'!AJ2:AJ21)</f>
        <v>0.16495721976846447</v>
      </c>
      <c r="AK42" s="28">
        <f>CORREL('DATASET 25%'!$AO2:$AO21,'DATASET 25%'!AK2:AK21)</f>
        <v>0.45826831901927145</v>
      </c>
      <c r="AL42" s="28">
        <f>CORREL('DATASET 25%'!$AO2:$AO21,'DATASET 25%'!AL2:AL21)</f>
        <v>-0.25819888974716104</v>
      </c>
      <c r="AM42" s="28">
        <f>CORREL('DATASET 25%'!$AO2:$AO21,'DATASET 25%'!AM2:AM21)</f>
        <v>-0.34299717028501775</v>
      </c>
      <c r="AN42" s="28">
        <f>CORREL('DATASET 25%'!$AO2:$AO21,'DATASET 25%'!AN2:AN21)</f>
        <v>8.0373803695068705E-2</v>
      </c>
      <c r="AO42" s="28">
        <f>CORREL('DATASET 25%'!$AO2:$AO21,'DATASET 25%'!AO2:AO21)</f>
        <v>0.99999999999999989</v>
      </c>
      <c r="AP42" s="28">
        <f>CORREL('DATASET 25%'!$AO2:$AO21,'DATASET 25%'!AP2:AP21)</f>
        <v>0.82394824678099277</v>
      </c>
      <c r="AQ42" s="28">
        <f>CORREL('DATASET 25%'!$AO2:$AO21,'DATASET 25%'!AQ2:AQ21)</f>
        <v>-0.66381236290600454</v>
      </c>
      <c r="AR42" s="28">
        <f>CORREL('DATASET 25%'!$AO2:$AO21,'DATASET 25%'!AR2:AR21)</f>
        <v>-0.26697154427208275</v>
      </c>
      <c r="AS42" s="28">
        <f>CORREL('DATASET 25%'!$AO2:$AO21,'DATASET 25%'!AS2:AS21)</f>
        <v>0.34391796971439731</v>
      </c>
      <c r="AT42" s="28">
        <f>CORREL('DATASET 25%'!$AO2:$AO21,'DATASET 25%'!AT2:AT21)</f>
        <v>-0.1972330146526324</v>
      </c>
      <c r="AU42" s="28">
        <f>CORREL('DATASET 25%'!$AO2:$AO21,'DATASET 25%'!AU2:AU21)</f>
        <v>-0.33968311024337872</v>
      </c>
      <c r="AV42" s="28">
        <f>CORREL('DATASET 25%'!$AO2:$AO21,'DATASET 25%'!AV2:AV21)</f>
        <v>0.52311437434718677</v>
      </c>
      <c r="AW42" s="28">
        <f>CORREL('DATASET 25%'!$AO2:$AO21,'DATASET 25%'!AW2:AW21)</f>
        <v>-0.24913643956121989</v>
      </c>
      <c r="AX42" s="28">
        <f>CORREL('DATASET 25%'!$AO2:$AO21,'DATASET 25%'!AX2:AX21)</f>
        <v>0.37851664930511264</v>
      </c>
      <c r="AY42" s="28">
        <f>CORREL('DATASET 25%'!$AO2:$AO21,'DATASET 25%'!AY2:AY21)</f>
        <v>0.62554324217122426</v>
      </c>
    </row>
    <row r="43" spans="1:51" ht="20" customHeight="1" x14ac:dyDescent="0.15">
      <c r="A43" s="30" t="s">
        <v>41</v>
      </c>
      <c r="B43" s="29">
        <f>CORREL('DATASET 25%'!$AP2:$AP21,'DATASET 25%'!B2:B21)</f>
        <v>-0.42852517434457305</v>
      </c>
      <c r="C43" s="28">
        <f>CORREL('DATASET 25%'!$AP2:$AP21,'DATASET 25%'!C2:C21)</f>
        <v>3.5511041211421776E-2</v>
      </c>
      <c r="D43" s="28">
        <f>CORREL('DATASET 25%'!$AP2:$AP21,'DATASET 25%'!D2:D21)</f>
        <v>0.38005847503304602</v>
      </c>
      <c r="E43" s="28">
        <f>CORREL('DATASET 25%'!$AP2:$AP21,'DATASET 25%'!E2:E21)</f>
        <v>-0.68316635590555108</v>
      </c>
      <c r="F43" s="28">
        <f>CORREL('DATASET 25%'!$AP2:$AP21,'DATASET 25%'!F2:F21)</f>
        <v>-0.27136662791009319</v>
      </c>
      <c r="G43" s="28">
        <f>CORREL('DATASET 25%'!$AP2:$AP21,'DATASET 25%'!G2:G21)</f>
        <v>0</v>
      </c>
      <c r="H43" s="28">
        <f>CORREL('DATASET 25%'!$AP2:$AP21,'DATASET 25%'!H2:H21)</f>
        <v>0.13443321448446624</v>
      </c>
      <c r="I43" s="42">
        <f>CORREL('DATASET 25%'!$AP2:$AP21,'DATASET 25%'!I2:I21)</f>
        <v>0.84913625876162768</v>
      </c>
      <c r="J43" s="28">
        <f>CORREL('DATASET 25%'!$AP2:$AP21,'DATASET 25%'!J2:J21)</f>
        <v>0.73675231266913921</v>
      </c>
      <c r="K43" s="28">
        <f>CORREL('DATASET 25%'!$AP2:$AP21,'DATASET 25%'!K2:K21)</f>
        <v>-0.17442550038556948</v>
      </c>
      <c r="L43" s="28">
        <f>CORREL('DATASET 25%'!$AP2:$AP21,'DATASET 25%'!L2:L21)</f>
        <v>4.0262562778584969E-2</v>
      </c>
      <c r="M43" s="28">
        <f>CORREL('DATASET 25%'!$AP2:$AP21,'DATASET 25%'!M2:M21)</f>
        <v>0.5629370729914206</v>
      </c>
      <c r="N43" s="28">
        <f>CORREL('DATASET 25%'!$AP2:$AP21,'DATASET 25%'!N2:N21)</f>
        <v>0.30012252399939049</v>
      </c>
      <c r="O43" s="28">
        <f>CORREL('DATASET 25%'!$AP2:$AP21,'DATASET 25%'!O2:O21)</f>
        <v>-0.36234569624831975</v>
      </c>
      <c r="P43" s="28">
        <f>CORREL('DATASET 25%'!$AP2:$AP21,'DATASET 25%'!P2:P21)</f>
        <v>0.56028733836132127</v>
      </c>
      <c r="Q43" s="28">
        <f>CORREL('DATASET 25%'!$AP2:$AP21,'DATASET 25%'!Q2:Q21)</f>
        <v>-3.2046767468253586E-2</v>
      </c>
      <c r="R43" s="28">
        <f>CORREL('DATASET 25%'!$AP2:$AP21,'DATASET 25%'!R2:R21)</f>
        <v>0.70337532093844668</v>
      </c>
      <c r="S43" s="38">
        <f>CORREL('DATASET 25%'!$AP2:$AP21,'DATASET 25%'!S2:S21)</f>
        <v>0.80311570775404428</v>
      </c>
      <c r="T43" s="28">
        <f>CORREL('DATASET 25%'!$AP2:$AP21,'DATASET 25%'!T2:T21)</f>
        <v>-0.3543225930943068</v>
      </c>
      <c r="U43" s="28">
        <f>CORREL('DATASET 25%'!$AP2:$AP21,'DATASET 25%'!U2:U21)</f>
        <v>0.535481674940681</v>
      </c>
      <c r="V43" s="28">
        <f>CORREL('DATASET 25%'!$AP2:$AP21,'DATASET 25%'!V2:V21)</f>
        <v>0.32991443953692901</v>
      </c>
      <c r="W43" s="28">
        <f>CORREL('DATASET 25%'!$AP2:$AP21,'DATASET 25%'!W2:W21)</f>
        <v>0.47744630259057508</v>
      </c>
      <c r="X43" s="28">
        <f>CORREL('DATASET 25%'!$AP2:$AP21,'DATASET 25%'!X2:X21)</f>
        <v>-0.54779549307863284</v>
      </c>
      <c r="Y43" s="28">
        <f>CORREL('DATASET 25%'!$AP2:$AP21,'DATASET 25%'!Y2:Y21)</f>
        <v>-0.61871759230469203</v>
      </c>
      <c r="Z43" s="28">
        <f>CORREL('DATASET 25%'!$AP2:$AP21,'DATASET 25%'!Z2:Z21)</f>
        <v>-0.50768421562637311</v>
      </c>
      <c r="AA43" s="28">
        <f>CORREL('DATASET 25%'!$AP2:$AP21,'DATASET 25%'!AA2:AA21)</f>
        <v>3.3210558207753517E-2</v>
      </c>
      <c r="AB43" s="28">
        <f>CORREL('DATASET 25%'!$AP2:$AP21,'DATASET 25%'!AB2:AB21)</f>
        <v>-0.52546190807281812</v>
      </c>
      <c r="AC43" s="28">
        <f>CORREL('DATASET 25%'!$AP2:$AP21,'DATASET 25%'!AC2:AC21)</f>
        <v>-0.24908935717592548</v>
      </c>
      <c r="AD43" s="28">
        <f>CORREL('DATASET 25%'!$AP2:$AP21,'DATASET 25%'!AD2:AD21)</f>
        <v>0.65456218690410073</v>
      </c>
      <c r="AE43" s="28">
        <f>CORREL('DATASET 25%'!$AP2:$AP21,'DATASET 25%'!AE2:AE21)</f>
        <v>0.55330028696917988</v>
      </c>
      <c r="AF43" s="28">
        <f>CORREL('DATASET 25%'!$AP2:$AP21,'DATASET 25%'!AF2:AF21)</f>
        <v>0.71754730985240966</v>
      </c>
      <c r="AG43" s="28">
        <f>CORREL('DATASET 25%'!$AP2:$AP21,'DATASET 25%'!AG2:AG21)</f>
        <v>-7.3142287622709259E-2</v>
      </c>
      <c r="AH43" s="28">
        <f>CORREL('DATASET 25%'!$AP2:$AP21,'DATASET 25%'!AH2:AH21)</f>
        <v>-0.61778811088821772</v>
      </c>
      <c r="AI43" s="28">
        <f>CORREL('DATASET 25%'!$AP2:$AP21,'DATASET 25%'!AI2:AI21)</f>
        <v>-4.1860917913946083E-2</v>
      </c>
      <c r="AJ43" s="28">
        <f>CORREL('DATASET 25%'!$AP2:$AP21,'DATASET 25%'!AJ2:AJ21)</f>
        <v>0.22385868365547618</v>
      </c>
      <c r="AK43" s="28">
        <f>CORREL('DATASET 25%'!$AP2:$AP21,'DATASET 25%'!AK2:AK21)</f>
        <v>0.42354232693040894</v>
      </c>
      <c r="AL43" s="28">
        <f>CORREL('DATASET 25%'!$AP2:$AP21,'DATASET 25%'!AL2:AL21)</f>
        <v>5.0507627227610527E-2</v>
      </c>
      <c r="AM43" s="28">
        <f>CORREL('DATASET 25%'!$AP2:$AP21,'DATASET 25%'!AM2:AM21)</f>
        <v>-0.47284059919322957</v>
      </c>
      <c r="AN43" s="28">
        <f>CORREL('DATASET 25%'!$AP2:$AP21,'DATASET 25%'!AN2:AN21)</f>
        <v>-0.12833307154304638</v>
      </c>
      <c r="AO43" s="28">
        <f>CORREL('DATASET 25%'!$AP2:$AP21,'DATASET 25%'!AO2:AO21)</f>
        <v>0.82394824678099277</v>
      </c>
      <c r="AP43" s="28">
        <f>CORREL('DATASET 25%'!$AP2:$AP21,'DATASET 25%'!AP2:AP21)</f>
        <v>0.99999999999999989</v>
      </c>
      <c r="AQ43" s="28">
        <f>CORREL('DATASET 25%'!$AP2:$AP21,'DATASET 25%'!AQ2:AQ21)</f>
        <v>-0.41049348589324092</v>
      </c>
      <c r="AR43" s="28">
        <f>CORREL('DATASET 25%'!$AP2:$AP21,'DATASET 25%'!AR2:AR21)</f>
        <v>0.40762942632947202</v>
      </c>
      <c r="AS43" s="28">
        <f>CORREL('DATASET 25%'!$AP2:$AP21,'DATASET 25%'!AS2:AS21)</f>
        <v>0.58051543268277994</v>
      </c>
      <c r="AT43" s="28">
        <f>CORREL('DATASET 25%'!$AP2:$AP21,'DATASET 25%'!AT2:AT21)</f>
        <v>-0.14725377234348785</v>
      </c>
      <c r="AU43" s="28">
        <f>CORREL('DATASET 25%'!$AP2:$AP21,'DATASET 25%'!AU2:AU21)</f>
        <v>-3.0392920009708529E-2</v>
      </c>
      <c r="AV43" s="28">
        <f>CORREL('DATASET 25%'!$AP2:$AP21,'DATASET 25%'!AV2:AV21)</f>
        <v>0.1602308988614114</v>
      </c>
      <c r="AW43" s="28">
        <f>CORREL('DATASET 25%'!$AP2:$AP21,'DATASET 25%'!AW2:AW21)</f>
        <v>-0.18115468597506187</v>
      </c>
      <c r="AX43" s="28">
        <f>CORREL('DATASET 25%'!$AP2:$AP21,'DATASET 25%'!AX2:AX21)</f>
        <v>0.70192152428276766</v>
      </c>
      <c r="AY43" s="28">
        <f>CORREL('DATASET 25%'!$AP2:$AP21,'DATASET 25%'!AY2:AY21)</f>
        <v>0.63818047938680456</v>
      </c>
    </row>
    <row r="44" spans="1:51" ht="20" customHeight="1" x14ac:dyDescent="0.15">
      <c r="A44" s="30" t="s">
        <v>55</v>
      </c>
      <c r="B44" s="29">
        <f>CORREL('DATASET 25%'!$AQ2:$AQ21,'DATASET 25%'!B2:B21)</f>
        <v>-0.13840913308956659</v>
      </c>
      <c r="C44" s="28">
        <f>CORREL('DATASET 25%'!$AQ2:$AQ21,'DATASET 25%'!C2:C21)</f>
        <v>0.11504474832710558</v>
      </c>
      <c r="D44" s="28">
        <f>CORREL('DATASET 25%'!$AQ2:$AQ21,'DATASET 25%'!D2:D21)</f>
        <v>-0.37562411321267408</v>
      </c>
      <c r="E44" s="28">
        <f>CORREL('DATASET 25%'!$AQ2:$AQ21,'DATASET 25%'!E2:E21)</f>
        <v>0.26735294246132713</v>
      </c>
      <c r="F44" s="28">
        <f>CORREL('DATASET 25%'!$AQ2:$AQ21,'DATASET 25%'!F2:F21)</f>
        <v>-0.26306702691829131</v>
      </c>
      <c r="G44" s="28">
        <f>CORREL('DATASET 25%'!$AQ2:$AQ21,'DATASET 25%'!G2:G21)</f>
        <v>-0.28460498941515411</v>
      </c>
      <c r="H44" s="28">
        <f>CORREL('DATASET 25%'!$AQ2:$AQ21,'DATASET 25%'!H2:H21)</f>
        <v>-0.14702638801033691</v>
      </c>
      <c r="I44" s="42">
        <f>CORREL('DATASET 25%'!$AQ2:$AQ21,'DATASET 25%'!I2:I21)</f>
        <v>-0.2634316848869161</v>
      </c>
      <c r="J44" s="28">
        <f>CORREL('DATASET 25%'!$AQ2:$AQ21,'DATASET 25%'!J2:J21)</f>
        <v>-0.51604684654213995</v>
      </c>
      <c r="K44" s="28">
        <f>CORREL('DATASET 25%'!$AQ2:$AQ21,'DATASET 25%'!K2:K21)</f>
        <v>-7.9056941504209513E-2</v>
      </c>
      <c r="L44" s="28">
        <f>CORREL('DATASET 25%'!$AQ2:$AQ21,'DATASET 25%'!L2:L21)</f>
        <v>9.7823197608903747E-2</v>
      </c>
      <c r="M44" s="28">
        <f>CORREL('DATASET 25%'!$AQ2:$AQ21,'DATASET 25%'!M2:M21)</f>
        <v>-0.26894273433173405</v>
      </c>
      <c r="N44" s="28">
        <f>CORREL('DATASET 25%'!$AQ2:$AQ21,'DATASET 25%'!N2:N21)</f>
        <v>0.35007002100700246</v>
      </c>
      <c r="O44" s="28">
        <f>CORREL('DATASET 25%'!$AQ2:$AQ21,'DATASET 25%'!O2:O21)</f>
        <v>-3.8215010173434164E-2</v>
      </c>
      <c r="P44" s="28">
        <f>CORREL('DATASET 25%'!$AQ2:$AQ21,'DATASET 25%'!P2:P21)</f>
        <v>0.30691721148650059</v>
      </c>
      <c r="Q44" s="28">
        <f>CORREL('DATASET 25%'!$AQ2:$AQ21,'DATASET 25%'!Q2:Q21)</f>
        <v>0.2409657986707496</v>
      </c>
      <c r="R44" s="28">
        <f>CORREL('DATASET 25%'!$AQ2:$AQ21,'DATASET 25%'!R2:R21)</f>
        <v>-0.66814182784024578</v>
      </c>
      <c r="S44" s="38">
        <f>CORREL('DATASET 25%'!$AQ2:$AQ21,'DATASET 25%'!S2:S21)</f>
        <v>0.14021141124290157</v>
      </c>
      <c r="T44" s="28">
        <f>CORREL('DATASET 25%'!$AQ2:$AQ21,'DATASET 25%'!T2:T21)</f>
        <v>7.7377595449941841E-2</v>
      </c>
      <c r="U44" s="28">
        <f>CORREL('DATASET 25%'!$AQ2:$AQ21,'DATASET 25%'!U2:U21)</f>
        <v>-0.10320313742306722</v>
      </c>
      <c r="V44" s="28">
        <f>CORREL('DATASET 25%'!$AQ2:$AQ21,'DATASET 25%'!V2:V21)</f>
        <v>-0.89442719099991597</v>
      </c>
      <c r="W44" s="28">
        <f>CORREL('DATASET 25%'!$AQ2:$AQ21,'DATASET 25%'!W2:W21)</f>
        <v>-0.63461538461538458</v>
      </c>
      <c r="X44" s="28">
        <f>CORREL('DATASET 25%'!$AQ2:$AQ21,'DATASET 25%'!X2:X21)</f>
        <v>0.16105025111433982</v>
      </c>
      <c r="Y44" s="28">
        <f>CORREL('DATASET 25%'!$AQ2:$AQ21,'DATASET 25%'!Y2:Y21)</f>
        <v>-0.14975189244419537</v>
      </c>
      <c r="Z44" s="28">
        <f>CORREL('DATASET 25%'!$AQ2:$AQ21,'DATASET 25%'!Z2:Z21)</f>
        <v>-3.5985080300429149E-2</v>
      </c>
      <c r="AA44" s="28">
        <f>CORREL('DATASET 25%'!$AQ2:$AQ21,'DATASET 25%'!AA2:AA21)</f>
        <v>-0.11298653657320641</v>
      </c>
      <c r="AB44" s="28">
        <f>CORREL('DATASET 25%'!$AQ2:$AQ21,'DATASET 25%'!AB2:AB21)</f>
        <v>-0.1831858263618279</v>
      </c>
      <c r="AC44" s="28">
        <f>CORREL('DATASET 25%'!$AQ2:$AQ21,'DATASET 25%'!AC2:AC21)</f>
        <v>0.21968621277986811</v>
      </c>
      <c r="AD44" s="28">
        <f>CORREL('DATASET 25%'!$AQ2:$AQ21,'DATASET 25%'!AD2:AD21)</f>
        <v>-0.49301257198088033</v>
      </c>
      <c r="AE44" s="28">
        <f>CORREL('DATASET 25%'!$AQ2:$AQ21,'DATASET 25%'!AE2:AE21)</f>
        <v>0.1274249324192949</v>
      </c>
      <c r="AF44" s="28">
        <f>CORREL('DATASET 25%'!$AQ2:$AQ21,'DATASET 25%'!AF2:AF21)</f>
        <v>0.26940795304016235</v>
      </c>
      <c r="AG44" s="28">
        <f>CORREL('DATASET 25%'!$AQ2:$AQ21,'DATASET 25%'!AG2:AG21)</f>
        <v>0.21624970671153415</v>
      </c>
      <c r="AH44" s="28">
        <f>CORREL('DATASET 25%'!$AQ2:$AQ21,'DATASET 25%'!AH2:AH21)</f>
        <v>8.0582296402538001E-2</v>
      </c>
      <c r="AI44" s="28">
        <f>CORREL('DATASET 25%'!$AQ2:$AQ21,'DATASET 25%'!AI2:AI21)</f>
        <v>-2.449979787750128E-2</v>
      </c>
      <c r="AJ44" s="28">
        <f>CORREL('DATASET 25%'!$AQ2:$AQ21,'DATASET 25%'!AJ2:AJ21)</f>
        <v>-0.55953820598111903</v>
      </c>
      <c r="AK44" s="28">
        <f>CORREL('DATASET 25%'!$AQ2:$AQ21,'DATASET 25%'!AK2:AK21)</f>
        <v>-0.59538865280675812</v>
      </c>
      <c r="AL44" s="28">
        <f>CORREL('DATASET 25%'!$AQ2:$AQ21,'DATASET 25%'!AL2:AL21)</f>
        <v>-0.19174124721184249</v>
      </c>
      <c r="AM44" s="28">
        <f>CORREL('DATASET 25%'!$AQ2:$AQ21,'DATASET 25%'!AM2:AM21)</f>
        <v>-0.17960530202677488</v>
      </c>
      <c r="AN44" s="28">
        <f>CORREL('DATASET 25%'!$AQ2:$AQ21,'DATASET 25%'!AN2:AN21)</f>
        <v>-0.54999387401636135</v>
      </c>
      <c r="AO44" s="28">
        <f>CORREL('DATASET 25%'!$AQ2:$AQ21,'DATASET 25%'!AO2:AO21)</f>
        <v>-0.66381236290600454</v>
      </c>
      <c r="AP44" s="28">
        <f>CORREL('DATASET 25%'!$AQ2:$AQ21,'DATASET 25%'!AP2:AP21)</f>
        <v>-0.41049348589324092</v>
      </c>
      <c r="AQ44" s="28">
        <f>CORREL('DATASET 25%'!$AQ2:$AQ21,'DATASET 25%'!AQ2:AQ21)</f>
        <v>1</v>
      </c>
      <c r="AR44" s="28">
        <f>CORREL('DATASET 25%'!$AQ2:$AQ21,'DATASET 25%'!AR2:AR21)</f>
        <v>-8.714893406611901E-2</v>
      </c>
      <c r="AS44" s="28">
        <f>CORREL('DATASET 25%'!$AQ2:$AQ21,'DATASET 25%'!AS2:AS21)</f>
        <v>-0.2804878048780487</v>
      </c>
      <c r="AT44" s="28">
        <f>CORREL('DATASET 25%'!$AQ2:$AQ21,'DATASET 25%'!AT2:AT21)</f>
        <v>4.3532607687571917E-2</v>
      </c>
      <c r="AU44" s="28">
        <f>CORREL('DATASET 25%'!$AQ2:$AQ21,'DATASET 25%'!AU2:AU21)</f>
        <v>0.25555964952096172</v>
      </c>
      <c r="AV44" s="28">
        <f>CORREL('DATASET 25%'!$AQ2:$AQ21,'DATASET 25%'!AV2:AV21)</f>
        <v>-0.63341201994559404</v>
      </c>
      <c r="AW44" s="28">
        <f>CORREL('DATASET 25%'!$AQ2:$AQ21,'DATASET 25%'!AW2:AW21)</f>
        <v>-0.38497419160916252</v>
      </c>
      <c r="AX44" s="28">
        <f>CORREL('DATASET 25%'!$AQ2:$AQ21,'DATASET 25%'!AX2:AX21)</f>
        <v>0.34424349555131856</v>
      </c>
      <c r="AY44" s="28">
        <f>CORREL('DATASET 25%'!$AQ2:$AQ21,'DATASET 25%'!AY2:AY21)</f>
        <v>-0.37537859676477409</v>
      </c>
    </row>
    <row r="45" spans="1:51" ht="20" customHeight="1" x14ac:dyDescent="0.15">
      <c r="A45" s="30" t="s">
        <v>43</v>
      </c>
      <c r="B45" s="29">
        <f>CORREL('DATASET 25%'!$AR2:$AR21,'DATASET 25%'!B2:B21)</f>
        <v>-0.13341421495031577</v>
      </c>
      <c r="C45" s="28">
        <f>CORREL('DATASET 25%'!$AR2:$AR21,'DATASET 25%'!C2:C21)</f>
        <v>-0.15008340284214075</v>
      </c>
      <c r="D45" s="28">
        <f>CORREL('DATASET 25%'!$AR2:$AR21,'DATASET 25%'!D2:D21)</f>
        <v>0.11396057645963792</v>
      </c>
      <c r="E45" s="28">
        <f>CORREL('DATASET 25%'!$AR2:$AR21,'DATASET 25%'!E2:E21)</f>
        <v>0.26967994498529685</v>
      </c>
      <c r="F45" s="28">
        <f>CORREL('DATASET 25%'!$AR2:$AR21,'DATASET 25%'!F2:F21)</f>
        <v>-0.22222222222222218</v>
      </c>
      <c r="G45" s="28">
        <f>CORREL('DATASET 25%'!$AR2:$AR21,'DATASET 25%'!G2:G21)</f>
        <v>-0.39191117502420419</v>
      </c>
      <c r="H45" s="28">
        <f>CORREL('DATASET 25%'!$AR2:$AR21,'DATASET 25%'!H2:H21)</f>
        <v>0.15625000000000003</v>
      </c>
      <c r="I45" s="42">
        <f>CORREL('DATASET 25%'!$AR2:$AR21,'DATASET 25%'!I2:I21)</f>
        <v>0.41695801924563436</v>
      </c>
      <c r="J45" s="28">
        <f>CORREL('DATASET 25%'!$AR2:$AR21,'DATASET 25%'!J2:J21)</f>
        <v>9.2208243965530803E-2</v>
      </c>
      <c r="K45" s="28">
        <f>CORREL('DATASET 25%'!$AR2:$AR21,'DATASET 25%'!K2:K21)</f>
        <v>-0.40163496987104397</v>
      </c>
      <c r="L45" s="28">
        <f>CORREL('DATASET 25%'!$AR2:$AR21,'DATASET 25%'!L2:L21)</f>
        <v>-0.37954481916183996</v>
      </c>
      <c r="M45" s="28">
        <f>CORREL('DATASET 25%'!$AR2:$AR21,'DATASET 25%'!M2:M21)</f>
        <v>0.23648087156127265</v>
      </c>
      <c r="N45" s="28">
        <f>CORREL('DATASET 25%'!$AR2:$AR21,'DATASET 25%'!N2:N21)</f>
        <v>-8.1877412114240253E-2</v>
      </c>
      <c r="O45" s="28">
        <f>CORREL('DATASET 25%'!$AR2:$AR21,'DATASET 25%'!O2:O21)</f>
        <v>-0.21658327628196961</v>
      </c>
      <c r="P45" s="28">
        <f>CORREL('DATASET 25%'!$AR2:$AR21,'DATASET 25%'!P2:P21)</f>
        <v>0.13483997249264848</v>
      </c>
      <c r="Q45" s="28">
        <f>CORREL('DATASET 25%'!$AR2:$AR21,'DATASET 25%'!Q2:Q21)</f>
        <v>0.4539489379439039</v>
      </c>
      <c r="R45" s="28">
        <f>CORREL('DATASET 25%'!$AR2:$AR21,'DATASET 25%'!R2:R21)</f>
        <v>8.0321932890249928E-2</v>
      </c>
      <c r="S45" s="38">
        <f>CORREL('DATASET 25%'!$AR2:$AR21,'DATASET 25%'!S2:S21)</f>
        <v>0.39687044811132666</v>
      </c>
      <c r="T45" s="28">
        <f>CORREL('DATASET 25%'!$AR2:$AR21,'DATASET 25%'!T2:T21)</f>
        <v>0.40654621295679771</v>
      </c>
      <c r="U45" s="28">
        <f>CORREL('DATASET 25%'!$AR2:$AR21,'DATASET 25%'!U2:U21)</f>
        <v>0.27735009811261457</v>
      </c>
      <c r="V45" s="28">
        <f>CORREL('DATASET 25%'!$AR2:$AR21,'DATASET 25%'!V2:V21)</f>
        <v>0.42025222702703841</v>
      </c>
      <c r="W45" s="28">
        <f>CORREL('DATASET 25%'!$AR2:$AR21,'DATASET 25%'!W2:W21)</f>
        <v>-0.21213203435596423</v>
      </c>
      <c r="X45" s="28">
        <f>CORREL('DATASET 25%'!$AR2:$AR21,'DATASET 25%'!X2:X21)</f>
        <v>-0.52288516211853964</v>
      </c>
      <c r="Y45" s="28">
        <f>CORREL('DATASET 25%'!$AR2:$AR21,'DATASET 25%'!Y2:Y21)</f>
        <v>5.2270837348931648E-2</v>
      </c>
      <c r="Z45" s="28">
        <f>CORREL('DATASET 25%'!$AR2:$AR21,'DATASET 25%'!Z2:Z21)</f>
        <v>-0.20830952244882409</v>
      </c>
      <c r="AA45" s="28">
        <f>CORREL('DATASET 25%'!$AR2:$AR21,'DATASET 25%'!AA2:AA21)</f>
        <v>0.25279502654084601</v>
      </c>
      <c r="AB45" s="28">
        <f>CORREL('DATASET 25%'!$AR2:$AR21,'DATASET 25%'!AB2:AB21)</f>
        <v>0.17456413381883576</v>
      </c>
      <c r="AC45" s="28">
        <f>CORREL('DATASET 25%'!$AR2:$AR21,'DATASET 25%'!AC2:AC21)</f>
        <v>-0.27286371951943139</v>
      </c>
      <c r="AD45" s="28">
        <f>CORREL('DATASET 25%'!$AR2:$AR21,'DATASET 25%'!AD2:AD21)</f>
        <v>7.5955452531274975E-2</v>
      </c>
      <c r="AE45" s="28">
        <f>CORREL('DATASET 25%'!$AR2:$AR21,'DATASET 25%'!AE2:AE21)</f>
        <v>2.2097086912079573E-2</v>
      </c>
      <c r="AF45" s="28">
        <f>CORREL('DATASET 25%'!$AR2:$AR21,'DATASET 25%'!AF2:AF21)</f>
        <v>0.21836833347360471</v>
      </c>
      <c r="AG45" s="28">
        <f>CORREL('DATASET 25%'!$AR2:$AR21,'DATASET 25%'!AG2:AG21)</f>
        <v>-4.2618452124564138E-3</v>
      </c>
      <c r="AH45" s="28">
        <f>CORREL('DATASET 25%'!$AR2:$AR21,'DATASET 25%'!AH2:AH21)</f>
        <v>-0.45342519294190697</v>
      </c>
      <c r="AI45" s="28">
        <f>CORREL('DATASET 25%'!$AR2:$AR21,'DATASET 25%'!AI2:AI21)</f>
        <v>-0.45434411125112123</v>
      </c>
      <c r="AJ45" s="28">
        <f>CORREL('DATASET 25%'!$AR2:$AR21,'DATASET 25%'!AJ2:AJ21)</f>
        <v>0.45226701686664522</v>
      </c>
      <c r="AK45" s="28">
        <f>CORREL('DATASET 25%'!$AR2:$AR21,'DATASET 25%'!AK2:AK21)</f>
        <v>0.48362197509742677</v>
      </c>
      <c r="AL45" s="28">
        <f>CORREL('DATASET 25%'!$AR2:$AR21,'DATASET 25%'!AL2:AL21)</f>
        <v>0.27955307234080506</v>
      </c>
      <c r="AM45" s="28">
        <f>CORREL('DATASET 25%'!$AR2:$AR21,'DATASET 25%'!AM2:AM21)</f>
        <v>-2.6343168488691591E-2</v>
      </c>
      <c r="AN45" s="28">
        <f>CORREL('DATASET 25%'!$AR2:$AR21,'DATASET 25%'!AN2:AN21)</f>
        <v>-8.0178372573727383E-2</v>
      </c>
      <c r="AO45" s="28">
        <f>CORREL('DATASET 25%'!$AR2:$AR21,'DATASET 25%'!AO2:AO21)</f>
        <v>-0.26697154427208275</v>
      </c>
      <c r="AP45" s="28">
        <f>CORREL('DATASET 25%'!$AR2:$AR21,'DATASET 25%'!AP2:AP21)</f>
        <v>0.40762942632947202</v>
      </c>
      <c r="AQ45" s="28">
        <f>CORREL('DATASET 25%'!$AR2:$AR21,'DATASET 25%'!AQ2:AQ21)</f>
        <v>-8.714893406611901E-2</v>
      </c>
      <c r="AR45" s="28">
        <f>CORREL('DATASET 25%'!$AR2:$AR21,'DATASET 25%'!AR2:AR21)</f>
        <v>1</v>
      </c>
      <c r="AS45" s="28">
        <f>CORREL('DATASET 25%'!$AR2:$AR21,'DATASET 25%'!AS2:AS21)</f>
        <v>-0.40411192956024339</v>
      </c>
      <c r="AT45" s="28">
        <f>CORREL('DATASET 25%'!$AR2:$AR21,'DATASET 25%'!AT2:AT21)</f>
        <v>0.24874685927665491</v>
      </c>
      <c r="AU45" s="28">
        <f>CORREL('DATASET 25%'!$AR2:$AR21,'DATASET 25%'!AU2:AU21)</f>
        <v>8.5724083312273283E-2</v>
      </c>
      <c r="AV45" s="28">
        <f>CORREL('DATASET 25%'!$AR2:$AR21,'DATASET 25%'!AV2:AV21)</f>
        <v>-8.6741437886104625E-2</v>
      </c>
      <c r="AW45" s="28">
        <f>CORREL('DATASET 25%'!$AR2:$AR21,'DATASET 25%'!AW2:AW21)</f>
        <v>-0.1212499829492224</v>
      </c>
      <c r="AX45" s="28">
        <f>CORREL('DATASET 25%'!$AR2:$AR21,'DATASET 25%'!AX2:AX21)</f>
        <v>-9.048748253832703E-2</v>
      </c>
      <c r="AY45" s="28">
        <f>CORREL('DATASET 25%'!$AR2:$AR21,'DATASET 25%'!AY2:AY21)</f>
        <v>0.21441096698421827</v>
      </c>
    </row>
    <row r="46" spans="1:51" ht="20" customHeight="1" x14ac:dyDescent="0.15">
      <c r="A46" s="30" t="s">
        <v>44</v>
      </c>
      <c r="B46" s="29">
        <f>CORREL('DATASET 25%'!$AS2:$AS21,'DATASET 25%'!B2:B21)</f>
        <v>-0.48283055348604498</v>
      </c>
      <c r="C46" s="28">
        <f>CORREL('DATASET 25%'!$AS2:$AS21,'DATASET 25%'!C2:C21)</f>
        <v>-0.53344314809912008</v>
      </c>
      <c r="D46" s="28">
        <f>CORREL('DATASET 25%'!$AS2:$AS21,'DATASET 25%'!D2:D21)</f>
        <v>1.764736414388934E-2</v>
      </c>
      <c r="E46" s="28">
        <f>CORREL('DATASET 25%'!$AS2:$AS21,'DATASET 25%'!E2:E21)</f>
        <v>-0.69126055753442794</v>
      </c>
      <c r="F46" s="28">
        <f>CORREL('DATASET 25%'!$AS2:$AS21,'DATASET 25%'!F2:F21)</f>
        <v>-0.43591456201455808</v>
      </c>
      <c r="G46" s="28">
        <f>CORREL('DATASET 25%'!$AS2:$AS21,'DATASET 25%'!G2:G21)</f>
        <v>0.38692630053637311</v>
      </c>
      <c r="H46" s="28">
        <f>CORREL('DATASET 25%'!$AS2:$AS21,'DATASET 25%'!H2:H21)</f>
        <v>-0.11911726911763221</v>
      </c>
      <c r="I46" s="42">
        <f>CORREL('DATASET 25%'!$AS2:$AS21,'DATASET 25%'!I2:I21)</f>
        <v>0.47934892569618875</v>
      </c>
      <c r="J46" s="28">
        <f>CORREL('DATASET 25%'!$AS2:$AS21,'DATASET 25%'!J2:J21)</f>
        <v>0.63461538461538447</v>
      </c>
      <c r="K46" s="28">
        <f>CORREL('DATASET 25%'!$AS2:$AS21,'DATASET 25%'!K2:K21)</f>
        <v>7.183697139158636E-2</v>
      </c>
      <c r="L46" s="28">
        <f>CORREL('DATASET 25%'!$AS2:$AS21,'DATASET 25%'!L2:L21)</f>
        <v>0.12535663410560174</v>
      </c>
      <c r="M46" s="28">
        <f>CORREL('DATASET 25%'!$AS2:$AS21,'DATASET 25%'!M2:M21)</f>
        <v>0.49329338226396252</v>
      </c>
      <c r="N46" s="28">
        <f>CORREL('DATASET 25%'!$AS2:$AS21,'DATASET 25%'!N2:N21)</f>
        <v>0.49936346250449537</v>
      </c>
      <c r="O46" s="28">
        <f>CORREL('DATASET 25%'!$AS2:$AS21,'DATASET 25%'!O2:O21)</f>
        <v>-0.51494298976696662</v>
      </c>
      <c r="P46" s="28">
        <f>CORREL('DATASET 25%'!$AS2:$AS21,'DATASET 25%'!P2:P21)</f>
        <v>1.0000000000000002</v>
      </c>
      <c r="Q46" s="28">
        <f>CORREL('DATASET 25%'!$AS2:$AS21,'DATASET 25%'!Q2:Q21)</f>
        <v>-0.19245008972987526</v>
      </c>
      <c r="R46" s="28">
        <f>CORREL('DATASET 25%'!$AS2:$AS21,'DATASET 25%'!R2:R21)</f>
        <v>0.84265008846948619</v>
      </c>
      <c r="S46" s="38">
        <f>CORREL('DATASET 25%'!$AS2:$AS21,'DATASET 25%'!S2:S21)</f>
        <v>0.36363636363636359</v>
      </c>
      <c r="T46" s="28">
        <f>CORREL('DATASET 25%'!$AS2:$AS21,'DATASET 25%'!T2:T21)</f>
        <v>-0.65741060492357595</v>
      </c>
      <c r="U46" s="28">
        <f>CORREL('DATASET 25%'!$AS2:$AS21,'DATASET 25%'!U2:U21)</f>
        <v>0.45845460404900218</v>
      </c>
      <c r="V46" s="28">
        <f>CORREL('DATASET 25%'!$AS2:$AS21,'DATASET 25%'!V2:V21)</f>
        <v>0.39999999999999986</v>
      </c>
      <c r="W46" s="28">
        <f>CORREL('DATASET 25%'!$AS2:$AS21,'DATASET 25%'!W2:W21)</f>
        <v>0.43692010032599726</v>
      </c>
      <c r="X46" s="28">
        <f>CORREL('DATASET 25%'!$AS2:$AS21,'DATASET 25%'!X2:X21)</f>
        <v>-0.42775742702260683</v>
      </c>
      <c r="Y46" s="28">
        <f>CORREL('DATASET 25%'!$AS2:$AS21,'DATASET 25%'!Y2:Y21)</f>
        <v>-0.60488848859274802</v>
      </c>
      <c r="Z46" s="28">
        <f>CORREL('DATASET 25%'!$AS2:$AS21,'DATASET 25%'!Z2:Z21)</f>
        <v>-0.62103442793758268</v>
      </c>
      <c r="AA46" s="28">
        <f>CORREL('DATASET 25%'!$AS2:$AS21,'DATASET 25%'!AA2:AA21)</f>
        <v>-0.10872134550890707</v>
      </c>
      <c r="AB46" s="28">
        <f>CORREL('DATASET 25%'!$AS2:$AS21,'DATASET 25%'!AB2:AB21)</f>
        <v>-0.6118014998909509</v>
      </c>
      <c r="AC46" s="28">
        <f>CORREL('DATASET 25%'!$AS2:$AS21,'DATASET 25%'!AC2:AC21)</f>
        <v>0.3364632924552266</v>
      </c>
      <c r="AD46" s="28">
        <f>CORREL('DATASET 25%'!$AS2:$AS21,'DATASET 25%'!AD2:AD21)</f>
        <v>0.68908185882893558</v>
      </c>
      <c r="AE46" s="28">
        <f>CORREL('DATASET 25%'!$AS2:$AS21,'DATASET 25%'!AE2:AE21)</f>
        <v>0.78072005835882663</v>
      </c>
      <c r="AF46" s="28">
        <f>CORREL('DATASET 25%'!$AS2:$AS21,'DATASET 25%'!AF2:AF21)</f>
        <v>0.28653412753062646</v>
      </c>
      <c r="AG46" s="28">
        <f>CORREL('DATASET 25%'!$AS2:$AS21,'DATASET 25%'!AG2:AG21)</f>
        <v>-0.54486236794258425</v>
      </c>
      <c r="AH46" s="28">
        <f>CORREL('DATASET 25%'!$AS2:$AS21,'DATASET 25%'!AH2:AH21)</f>
        <v>-0.11504474832710557</v>
      </c>
      <c r="AI46" s="28">
        <f>CORREL('DATASET 25%'!$AS2:$AS21,'DATASET 25%'!AI2:AI21)</f>
        <v>0.82018972789169553</v>
      </c>
      <c r="AJ46" s="28">
        <f>CORREL('DATASET 25%'!$AS2:$AS21,'DATASET 25%'!AJ2:AJ21)</f>
        <v>8.2854437450293222E-2</v>
      </c>
      <c r="AK46" s="28">
        <f>CORREL('DATASET 25%'!$AS2:$AS21,'DATASET 25%'!AK2:AK21)</f>
        <v>6.9885655781461206E-2</v>
      </c>
      <c r="AL46" s="28">
        <f>CORREL('DATASET 25%'!$AS2:$AS21,'DATASET 25%'!AL2:AL21)</f>
        <v>-0.47368648068904989</v>
      </c>
      <c r="AM46" s="28">
        <f>CORREL('DATASET 25%'!$AS2:$AS21,'DATASET 25%'!AM2:AM21)</f>
        <v>-0.3282439759448873</v>
      </c>
      <c r="AN46" s="28">
        <f>CORREL('DATASET 25%'!$AS2:$AS21,'DATASET 25%'!AN2:AN21)</f>
        <v>0</v>
      </c>
      <c r="AO46" s="28">
        <f>CORREL('DATASET 25%'!$AS2:$AS21,'DATASET 25%'!AO2:AO21)</f>
        <v>0.34391796971439731</v>
      </c>
      <c r="AP46" s="28">
        <f>CORREL('DATASET 25%'!$AS2:$AS21,'DATASET 25%'!AP2:AP21)</f>
        <v>0.58051543268277994</v>
      </c>
      <c r="AQ46" s="28">
        <f>CORREL('DATASET 25%'!$AS2:$AS21,'DATASET 25%'!AQ2:AQ21)</f>
        <v>-0.2804878048780487</v>
      </c>
      <c r="AR46" s="28">
        <f>CORREL('DATASET 25%'!$AS2:$AS21,'DATASET 25%'!AR2:AR21)</f>
        <v>-0.40411192956024339</v>
      </c>
      <c r="AS46" s="28">
        <f>CORREL('DATASET 25%'!$AS2:$AS21,'DATASET 25%'!AS2:AS21)</f>
        <v>1</v>
      </c>
      <c r="AT46" s="28">
        <f>CORREL('DATASET 25%'!$AS2:$AS21,'DATASET 25%'!AT2:AT21)</f>
        <v>-0.63913749070614179</v>
      </c>
      <c r="AU46" s="28">
        <f>CORREL('DATASET 25%'!$AS2:$AS21,'DATASET 25%'!AU2:AU21)</f>
        <v>-0.61631563442793658</v>
      </c>
      <c r="AV46" s="28">
        <f>CORREL('DATASET 25%'!$AS2:$AS21,'DATASET 25%'!AV2:AV21)</f>
        <v>0.36166392176071299</v>
      </c>
      <c r="AW46" s="28">
        <f>CORREL('DATASET 25%'!$AS2:$AS21,'DATASET 25%'!AW2:AW21)</f>
        <v>-0.48795003647426638</v>
      </c>
      <c r="AX46" s="28">
        <f>CORREL('DATASET 25%'!$AS2:$AS21,'DATASET 25%'!AX2:AX21)</f>
        <v>0.56543385745325814</v>
      </c>
      <c r="AY46" s="28">
        <f>CORREL('DATASET 25%'!$AS2:$AS21,'DATASET 25%'!AY2:AY21)</f>
        <v>-6.3245553203367569E-2</v>
      </c>
    </row>
    <row r="47" spans="1:51" ht="20" customHeight="1" x14ac:dyDescent="0.15">
      <c r="A47" s="30" t="s">
        <v>45</v>
      </c>
      <c r="B47" s="29">
        <f>CORREL('DATASET 25%'!$AT2:$AT21,'DATASET 25%'!B2:B21)</f>
        <v>0.82366158212231866</v>
      </c>
      <c r="C47" s="28">
        <f>CORREL('DATASET 25%'!$AT2:$AT21,'DATASET 25%'!C2:C21)</f>
        <v>0.65828058860438343</v>
      </c>
      <c r="D47" s="28">
        <f>CORREL('DATASET 25%'!$AT2:$AT21,'DATASET 25%'!D2:D21)</f>
        <v>-9.3100680758114812E-2</v>
      </c>
      <c r="E47" s="28">
        <f>CORREL('DATASET 25%'!$AT2:$AT21,'DATASET 25%'!E2:E21)</f>
        <v>0.59512187028022234</v>
      </c>
      <c r="F47" s="28">
        <f>CORREL('DATASET 25%'!$AT2:$AT21,'DATASET 25%'!F2:F21)</f>
        <v>0.39894181395195577</v>
      </c>
      <c r="G47" s="28">
        <f>CORREL('DATASET 25%'!$AT2:$AT21,'DATASET 25%'!G2:G21)</f>
        <v>4.0197418916900506E-2</v>
      </c>
      <c r="H47" s="28">
        <f>CORREL('DATASET 25%'!$AT2:$AT21,'DATASET 25%'!H2:H21)</f>
        <v>-5.4192781460340476E-2</v>
      </c>
      <c r="I47" s="42">
        <f>CORREL('DATASET 25%'!$AT2:$AT21,'DATASET 25%'!I2:I21)</f>
        <v>-0.20618556701030938</v>
      </c>
      <c r="J47" s="28">
        <f>CORREL('DATASET 25%'!$AT2:$AT21,'DATASET 25%'!J2:J21)</f>
        <v>-6.5923425308721598E-2</v>
      </c>
      <c r="K47" s="28">
        <f>CORREL('DATASET 25%'!$AT2:$AT21,'DATASET 25%'!K2:K21)</f>
        <v>0.49236596391733084</v>
      </c>
      <c r="L47" s="28">
        <f>CORREL('DATASET 25%'!$AT2:$AT21,'DATASET 25%'!L2:L21)</f>
        <v>-0.16566307331251645</v>
      </c>
      <c r="M47" s="28">
        <f>CORREL('DATASET 25%'!$AT2:$AT21,'DATASET 25%'!M2:M21)</f>
        <v>-0.60580049458624174</v>
      </c>
      <c r="N47" s="28">
        <f>CORREL('DATASET 25%'!$AT2:$AT21,'DATASET 25%'!N2:N21)</f>
        <v>-0.22077621784236603</v>
      </c>
      <c r="O47" s="28">
        <f>CORREL('DATASET 25%'!$AT2:$AT21,'DATASET 25%'!O2:O21)</f>
        <v>0.58745012591807477</v>
      </c>
      <c r="P47" s="28">
        <f>CORREL('DATASET 25%'!$AT2:$AT21,'DATASET 25%'!P2:P21)</f>
        <v>-0.36148423122018675</v>
      </c>
      <c r="Q47" s="28">
        <f>CORREL('DATASET 25%'!$AT2:$AT21,'DATASET 25%'!Q2:Q21)</f>
        <v>0.15460413650478522</v>
      </c>
      <c r="R47" s="28">
        <f>CORREL('DATASET 25%'!$AT2:$AT21,'DATASET 25%'!R2:R21)</f>
        <v>-0.23398419466270653</v>
      </c>
      <c r="S47" s="38">
        <f>CORREL('DATASET 25%'!$AT2:$AT21,'DATASET 25%'!S2:S21)</f>
        <v>-0.29215790613730991</v>
      </c>
      <c r="T47" s="28">
        <f>CORREL('DATASET 25%'!$AT2:$AT21,'DATASET 25%'!T2:T21)</f>
        <v>0.74581603558967391</v>
      </c>
      <c r="U47" s="28">
        <f>CORREL('DATASET 25%'!$AT2:$AT21,'DATASET 25%'!U2:U21)</f>
        <v>-7.0070379436785124E-2</v>
      </c>
      <c r="V47" s="28">
        <f>CORREL('DATASET 25%'!$AT2:$AT21,'DATASET 25%'!V2:V21)</f>
        <v>4.3033148291193535E-2</v>
      </c>
      <c r="W47" s="28">
        <f>CORREL('DATASET 25%'!$AT2:$AT21,'DATASET 25%'!W2:W21)</f>
        <v>-0.55065942873214546</v>
      </c>
      <c r="X47" s="28">
        <f>CORREL('DATASET 25%'!$AT2:$AT21,'DATASET 25%'!X2:X21)</f>
        <v>0.68853037265909633</v>
      </c>
      <c r="Y47" s="28">
        <f>CORREL('DATASET 25%'!$AT2:$AT21,'DATASET 25%'!Y2:Y21)</f>
        <v>0.39874665621294064</v>
      </c>
      <c r="Z47" s="28">
        <f>CORREL('DATASET 25%'!$AT2:$AT21,'DATASET 25%'!Z2:Z21)</f>
        <v>0.58428294055350338</v>
      </c>
      <c r="AA47" s="28">
        <f>CORREL('DATASET 25%'!$AT2:$AT21,'DATASET 25%'!AA2:AA21)</f>
        <v>-4.9124319023546935E-2</v>
      </c>
      <c r="AB47" s="28">
        <f>CORREL('DATASET 25%'!$AT2:$AT21,'DATASET 25%'!AB2:AB21)</f>
        <v>0.63913749070614201</v>
      </c>
      <c r="AC47" s="28">
        <f>CORREL('DATASET 25%'!$AT2:$AT21,'DATASET 25%'!AC2:AC21)</f>
        <v>-6.2439054105446264E-2</v>
      </c>
      <c r="AD47" s="28">
        <f>CORREL('DATASET 25%'!$AT2:$AT21,'DATASET 25%'!AD2:AD21)</f>
        <v>9.766596761559293E-2</v>
      </c>
      <c r="AE47" s="28">
        <f>CORREL('DATASET 25%'!$AT2:$AT21,'DATASET 25%'!AE2:AE21)</f>
        <v>-0.72087735615428838</v>
      </c>
      <c r="AF47" s="28">
        <f>CORREL('DATASET 25%'!$AT2:$AT21,'DATASET 25%'!AF2:AF21)</f>
        <v>-0.1099607062497469</v>
      </c>
      <c r="AG47" s="28">
        <f>CORREL('DATASET 25%'!$AT2:$AT21,'DATASET 25%'!AG2:AG21)</f>
        <v>0.73434287208463644</v>
      </c>
      <c r="AH47" s="28">
        <f>CORREL('DATASET 25%'!$AT2:$AT21,'DATASET 25%'!AH2:AH21)</f>
        <v>0.14082517803727698</v>
      </c>
      <c r="AI47" s="28">
        <f>CORREL('DATASET 25%'!$AT2:$AT21,'DATASET 25%'!AI2:AI21)</f>
        <v>-0.63913043478260867</v>
      </c>
      <c r="AJ47" s="28">
        <f>CORREL('DATASET 25%'!$AT2:$AT21,'DATASET 25%'!AJ2:AJ21)</f>
        <v>0.47009426146951899</v>
      </c>
      <c r="AK47" s="28">
        <f>CORREL('DATASET 25%'!$AT2:$AT21,'DATASET 25%'!AK2:AK21)</f>
        <v>0.24609472632989152</v>
      </c>
      <c r="AL47" s="28">
        <f>CORREL('DATASET 25%'!$AT2:$AT21,'DATASET 25%'!AL2:AL21)</f>
        <v>0.11526067913468745</v>
      </c>
      <c r="AM47" s="28">
        <f>CORREL('DATASET 25%'!$AT2:$AT21,'DATASET 25%'!AM2:AM21)</f>
        <v>0.58038100008800941</v>
      </c>
      <c r="AN47" s="28">
        <f>CORREL('DATASET 25%'!$AT2:$AT21,'DATASET 25%'!AN2:AN21)</f>
        <v>-0.12909944487358058</v>
      </c>
      <c r="AO47" s="28">
        <f>CORREL('DATASET 25%'!$AT2:$AT21,'DATASET 25%'!AO2:AO21)</f>
        <v>-0.1972330146526324</v>
      </c>
      <c r="AP47" s="28">
        <f>CORREL('DATASET 25%'!$AT2:$AT21,'DATASET 25%'!AP2:AP21)</f>
        <v>-0.14725377234348785</v>
      </c>
      <c r="AQ47" s="28">
        <f>CORREL('DATASET 25%'!$AT2:$AT21,'DATASET 25%'!AQ2:AQ21)</f>
        <v>4.3532607687571917E-2</v>
      </c>
      <c r="AR47" s="28">
        <f>CORREL('DATASET 25%'!$AT2:$AT21,'DATASET 25%'!AR2:AR21)</f>
        <v>0.24874685927665491</v>
      </c>
      <c r="AS47" s="28">
        <f>CORREL('DATASET 25%'!$AT2:$AT21,'DATASET 25%'!AS2:AS21)</f>
        <v>-0.63913749070614179</v>
      </c>
      <c r="AT47" s="28">
        <f>CORREL('DATASET 25%'!$AT2:$AT21,'DATASET 25%'!AT2:AT21)</f>
        <v>1.0000000000000002</v>
      </c>
      <c r="AU47" s="28">
        <f>CORREL('DATASET 25%'!$AT2:$AT21,'DATASET 25%'!AU2:AU21)</f>
        <v>0.41025641025641024</v>
      </c>
      <c r="AV47" s="28">
        <f>CORREL('DATASET 25%'!$AT2:$AT21,'DATASET 25%'!AV2:AV21)</f>
        <v>7.2374686445574599E-2</v>
      </c>
      <c r="AW47" s="28">
        <f>CORREL('DATASET 25%'!$AT2:$AT21,'DATASET 25%'!AW2:AW21)</f>
        <v>0.86979689861744014</v>
      </c>
      <c r="AX47" s="28">
        <f>CORREL('DATASET 25%'!$AT2:$AT21,'DATASET 25%'!AX2:AX21)</f>
        <v>-0.19715970992956997</v>
      </c>
      <c r="AY47" s="28">
        <f>CORREL('DATASET 25%'!$AT2:$AT21,'DATASET 25%'!AY2:AY21)</f>
        <v>0.11878712677908441</v>
      </c>
    </row>
    <row r="48" spans="1:51" ht="20" customHeight="1" x14ac:dyDescent="0.15">
      <c r="A48" s="30" t="s">
        <v>46</v>
      </c>
      <c r="B48" s="29">
        <f>CORREL('DATASET 25%'!$AU2:$AU21,'DATASET 25%'!B2:B21)</f>
        <v>0.31017722762389105</v>
      </c>
      <c r="C48" s="28">
        <f>CORREL('DATASET 25%'!$AU2:$AU21,'DATASET 25%'!C2:C21)</f>
        <v>0.29851115706299675</v>
      </c>
      <c r="D48" s="28">
        <f>CORREL('DATASET 25%'!$AU2:$AU21,'DATASET 25%'!D2:D21)</f>
        <v>6.4746221285351541E-2</v>
      </c>
      <c r="E48" s="28">
        <f>CORREL('DATASET 25%'!$AU2:$AU21,'DATASET 25%'!E2:E21)</f>
        <v>-8.0583323868284122E-17</v>
      </c>
      <c r="F48" s="28">
        <f>CORREL('DATASET 25%'!$AU2:$AU21,'DATASET 25%'!F2:F21)</f>
        <v>0.33630892521879069</v>
      </c>
      <c r="G48" s="28">
        <f>CORREL('DATASET 25%'!$AU2:$AU21,'DATASET 25%'!G2:G21)</f>
        <v>0.51574384777807936</v>
      </c>
      <c r="H48" s="28">
        <f>CORREL('DATASET 25%'!$AU2:$AU21,'DATASET 25%'!H2:H21)</f>
        <v>-0.26612935277863642</v>
      </c>
      <c r="I48" s="42">
        <f>CORREL('DATASET 25%'!$AU2:$AU21,'DATASET 25%'!I2:I21)</f>
        <v>-0.18181818181818174</v>
      </c>
      <c r="J48" s="28">
        <f>CORREL('DATASET 25%'!$AU2:$AU21,'DATASET 25%'!J2:J21)</f>
        <v>-0.58028845747399715</v>
      </c>
      <c r="K48" s="28">
        <f>CORREL('DATASET 25%'!$AU2:$AU21,'DATASET 25%'!K2:K21)</f>
        <v>0.11389336290235505</v>
      </c>
      <c r="L48" s="28">
        <f>CORREL('DATASET 25%'!$AU2:$AU21,'DATASET 25%'!L2:L21)</f>
        <v>2.3186944788008451E-2</v>
      </c>
      <c r="M48" s="28">
        <f>CORREL('DATASET 25%'!$AU2:$AU21,'DATASET 25%'!M2:M21)</f>
        <v>-0.12344267996967356</v>
      </c>
      <c r="N48" s="28">
        <f>CORREL('DATASET 25%'!$AU2:$AU21,'DATASET 25%'!N2:N21)</f>
        <v>-0.19473404508356196</v>
      </c>
      <c r="O48" s="28">
        <f>CORREL('DATASET 25%'!$AU2:$AU21,'DATASET 25%'!O2:O21)</f>
        <v>0.21048836311393065</v>
      </c>
      <c r="P48" s="28">
        <f>CORREL('DATASET 25%'!$AU2:$AU21,'DATASET 25%'!P2:P21)</f>
        <v>-0.54838101002603767</v>
      </c>
      <c r="Q48" s="28">
        <f>CORREL('DATASET 25%'!$AU2:$AU21,'DATASET 25%'!Q2:Q21)</f>
        <v>0</v>
      </c>
      <c r="R48" s="28">
        <f>CORREL('DATASET 25%'!$AU2:$AU21,'DATASET 25%'!R2:R21)</f>
        <v>1.7786387594901119E-2</v>
      </c>
      <c r="S48" s="38">
        <f>CORREL('DATASET 25%'!$AU2:$AU21,'DATASET 25%'!S2:S21)</f>
        <v>4.9424165057217161E-2</v>
      </c>
      <c r="T48" s="28">
        <f>CORREL('DATASET 25%'!$AU2:$AU21,'DATASET 25%'!T2:T21)</f>
        <v>0.4228927940003131</v>
      </c>
      <c r="U48" s="28">
        <f>CORREL('DATASET 25%'!$AU2:$AU21,'DATASET 25%'!U2:U21)</f>
        <v>0.16775753073468519</v>
      </c>
      <c r="V48" s="28">
        <f>CORREL('DATASET 25%'!$AU2:$AU21,'DATASET 25%'!V2:V21)</f>
        <v>-6.5288395561963489E-2</v>
      </c>
      <c r="W48" s="28">
        <f>CORREL('DATASET 25%'!$AU2:$AU21,'DATASET 25%'!W2:W21)</f>
        <v>-0.62471909335720255</v>
      </c>
      <c r="X48" s="28">
        <f>CORREL('DATASET 25%'!$AU2:$AU21,'DATASET 25%'!X2:X21)</f>
        <v>-0.16009974717832379</v>
      </c>
      <c r="Y48" s="28">
        <f>CORREL('DATASET 25%'!$AU2:$AU21,'DATASET 25%'!Y2:Y21)</f>
        <v>6.5094455490411929E-2</v>
      </c>
      <c r="Z48" s="28">
        <f>CORREL('DATASET 25%'!$AU2:$AU21,'DATASET 25%'!Z2:Z21)</f>
        <v>-6.3169794877270202E-2</v>
      </c>
      <c r="AA48" s="28">
        <f>CORREL('DATASET 25%'!$AU2:$AU21,'DATASET 25%'!AA2:AA21)</f>
        <v>-0.31586157135224158</v>
      </c>
      <c r="AB48" s="28">
        <f>CORREL('DATASET 25%'!$AU2:$AU21,'DATASET 25%'!AB2:AB21)</f>
        <v>0.53532633450650868</v>
      </c>
      <c r="AC48" s="28">
        <f>CORREL('DATASET 25%'!$AU2:$AU21,'DATASET 25%'!AC2:AC21)</f>
        <v>-0.17930534306551252</v>
      </c>
      <c r="AD48" s="28">
        <f>CORREL('DATASET 25%'!$AU2:$AU21,'DATASET 25%'!AD2:AD21)</f>
        <v>-0.21267143241840133</v>
      </c>
      <c r="AE48" s="28">
        <f>CORREL('DATASET 25%'!$AU2:$AU21,'DATASET 25%'!AE2:AE21)</f>
        <v>1.8156825980064087E-2</v>
      </c>
      <c r="AF48" s="28">
        <f>CORREL('DATASET 25%'!$AU2:$AU21,'DATASET 25%'!AF2:AF21)</f>
        <v>-0.51151782514091637</v>
      </c>
      <c r="AG48" s="28">
        <f>CORREL('DATASET 25%'!$AU2:$AU21,'DATASET 25%'!AG2:AG21)</f>
        <v>0.21556199545914567</v>
      </c>
      <c r="AH48" s="28">
        <f>CORREL('DATASET 25%'!$AU2:$AU21,'DATASET 25%'!AH2:AH21)</f>
        <v>0.42913229441399486</v>
      </c>
      <c r="AI48" s="28">
        <f>CORREL('DATASET 25%'!$AU2:$AU21,'DATASET 25%'!AI2:AI21)</f>
        <v>-0.82166849681879661</v>
      </c>
      <c r="AJ48" s="28">
        <f>CORREL('DATASET 25%'!$AU2:$AU21,'DATASET 25%'!AJ2:AJ21)</f>
        <v>0.34655164004183592</v>
      </c>
      <c r="AK48" s="28">
        <f>CORREL('DATASET 25%'!$AU2:$AU21,'DATASET 25%'!AK2:AK21)</f>
        <v>0.38672028423268662</v>
      </c>
      <c r="AL48" s="28">
        <f>CORREL('DATASET 25%'!$AU2:$AU21,'DATASET 25%'!AL2:AL21)</f>
        <v>0.26784161445672061</v>
      </c>
      <c r="AM48" s="28">
        <f>CORREL('DATASET 25%'!$AU2:$AU21,'DATASET 25%'!AM2:AM21)</f>
        <v>4.5230235436850591E-2</v>
      </c>
      <c r="AN48" s="28">
        <f>CORREL('DATASET 25%'!$AU2:$AU21,'DATASET 25%'!AN2:AN21)</f>
        <v>0.54330536799443285</v>
      </c>
      <c r="AO48" s="28">
        <f>CORREL('DATASET 25%'!$AU2:$AU21,'DATASET 25%'!AO2:AO21)</f>
        <v>-0.33968311024337872</v>
      </c>
      <c r="AP48" s="28">
        <f>CORREL('DATASET 25%'!$AU2:$AU21,'DATASET 25%'!AP2:AP21)</f>
        <v>-3.0392920009708529E-2</v>
      </c>
      <c r="AQ48" s="28">
        <f>CORREL('DATASET 25%'!$AU2:$AU21,'DATASET 25%'!AQ2:AQ21)</f>
        <v>0.25555964952096172</v>
      </c>
      <c r="AR48" s="28">
        <f>CORREL('DATASET 25%'!$AU2:$AU21,'DATASET 25%'!AR2:AR21)</f>
        <v>8.5724083312273283E-2</v>
      </c>
      <c r="AS48" s="28">
        <f>CORREL('DATASET 25%'!$AU2:$AU21,'DATASET 25%'!AS2:AS21)</f>
        <v>-0.61631563442793658</v>
      </c>
      <c r="AT48" s="28">
        <f>CORREL('DATASET 25%'!$AU2:$AU21,'DATASET 25%'!AT2:AT21)</f>
        <v>0.41025641025641024</v>
      </c>
      <c r="AU48" s="28">
        <f>CORREL('DATASET 25%'!$AU2:$AU21,'DATASET 25%'!AU2:AU21)</f>
        <v>0.99999999999999978</v>
      </c>
      <c r="AV48" s="28">
        <f>CORREL('DATASET 25%'!$AU2:$AU21,'DATASET 25%'!AV2:AV21)</f>
        <v>-3.1642119364502175E-2</v>
      </c>
      <c r="AW48" s="28">
        <f>CORREL('DATASET 25%'!$AU2:$AU21,'DATASET 25%'!AW2:AW21)</f>
        <v>0.29702006475334308</v>
      </c>
      <c r="AX48" s="28">
        <f>CORREL('DATASET 25%'!$AU2:$AU21,'DATASET 25%'!AX2:AX21)</f>
        <v>-1.1212622650994887E-2</v>
      </c>
      <c r="AY48" s="28">
        <f>CORREL('DATASET 25%'!$AU2:$AU21,'DATASET 25%'!AY2:AY21)</f>
        <v>7.4363659922375314E-2</v>
      </c>
    </row>
    <row r="49" spans="1:51" ht="20" customHeight="1" x14ac:dyDescent="0.15">
      <c r="A49" s="30" t="s">
        <v>47</v>
      </c>
      <c r="B49" s="29">
        <f>CORREL('DATASET 25%'!$AV2:$AV21,'DATASET 25%'!B2:B21)</f>
        <v>0.1846372364689991</v>
      </c>
      <c r="C49" s="28">
        <f>CORREL('DATASET 25%'!$AV2:$AV21,'DATASET 25%'!C2:C21)</f>
        <v>0.37295688291399004</v>
      </c>
      <c r="D49" s="28">
        <f>CORREL('DATASET 25%'!$AV2:$AV21,'DATASET 25%'!D2:D21)</f>
        <v>0.75818612914320327</v>
      </c>
      <c r="E49" s="28">
        <f>CORREL('DATASET 25%'!$AV2:$AV21,'DATASET 25%'!E2:E21)</f>
        <v>0</v>
      </c>
      <c r="F49" s="28">
        <f>CORREL('DATASET 25%'!$AV2:$AV21,'DATASET 25%'!F2:F21)</f>
        <v>-6.8680281974344504E-2</v>
      </c>
      <c r="G49" s="28">
        <f>CORREL('DATASET 25%'!$AV2:$AV21,'DATASET 25%'!G2:G21)</f>
        <v>0.48494758248871039</v>
      </c>
      <c r="H49" s="28">
        <f>CORREL('DATASET 25%'!$AV2:$AV21,'DATASET 25%'!H2:H21)</f>
        <v>0.20995367766226414</v>
      </c>
      <c r="I49" s="42">
        <f>CORREL('DATASET 25%'!$AV2:$AV21,'DATASET 25%'!I2:I21)</f>
        <v>-0.19553072625698323</v>
      </c>
      <c r="J49" s="28">
        <f>CORREL('DATASET 25%'!$AV2:$AV21,'DATASET 25%'!J2:J21)</f>
        <v>0.4041616181007503</v>
      </c>
      <c r="K49" s="28">
        <f>CORREL('DATASET 25%'!$AV2:$AV21,'DATASET 25%'!K2:K21)</f>
        <v>0.37601786192323755</v>
      </c>
      <c r="L49" s="28">
        <f>CORREL('DATASET 25%'!$AV2:$AV21,'DATASET 25%'!L2:L21)</f>
        <v>0.54129908076375</v>
      </c>
      <c r="M49" s="28">
        <f>CORREL('DATASET 25%'!$AV2:$AV21,'DATASET 25%'!M2:M21)</f>
        <v>4.5116505897291759E-3</v>
      </c>
      <c r="N49" s="28">
        <f>CORREL('DATASET 25%'!$AV2:$AV21,'DATASET 25%'!N2:N21)</f>
        <v>0.42175054120051048</v>
      </c>
      <c r="O49" s="28">
        <f>CORREL('DATASET 25%'!$AV2:$AV21,'DATASET 25%'!O2:O21)</f>
        <v>-0.11572347642739898</v>
      </c>
      <c r="P49" s="28">
        <f>CORREL('DATASET 25%'!$AV2:$AV21,'DATASET 25%'!P2:P21)</f>
        <v>-0.55400328776744912</v>
      </c>
      <c r="Q49" s="28">
        <f>CORREL('DATASET 25%'!$AV2:$AV21,'DATASET 25%'!Q2:Q21)</f>
        <v>0.26533431525261619</v>
      </c>
      <c r="R49" s="28">
        <f>CORREL('DATASET 25%'!$AV2:$AV21,'DATASET 25%'!R2:R21)</f>
        <v>0.39999999999999991</v>
      </c>
      <c r="S49" s="38">
        <f>CORREL('DATASET 25%'!$AV2:$AV21,'DATASET 25%'!S2:S21)</f>
        <v>5.573323041272954E-2</v>
      </c>
      <c r="T49" s="28">
        <f>CORREL('DATASET 25%'!$AV2:$AV21,'DATASET 25%'!T2:T21)</f>
        <v>0</v>
      </c>
      <c r="U49" s="28">
        <f>CORREL('DATASET 25%'!$AV2:$AV21,'DATASET 25%'!U2:U21)</f>
        <v>0</v>
      </c>
      <c r="V49" s="28">
        <f>CORREL('DATASET 25%'!$AV2:$AV21,'DATASET 25%'!V2:V21)</f>
        <v>0.5087470190691683</v>
      </c>
      <c r="W49" s="28">
        <f>CORREL('DATASET 25%'!$AV2:$AV21,'DATASET 25%'!W2:W21)</f>
        <v>0.3386670053338412</v>
      </c>
      <c r="X49" s="28">
        <f>CORREL('DATASET 25%'!$AV2:$AV21,'DATASET 25%'!X2:X21)</f>
        <v>5.1507875363771279E-2</v>
      </c>
      <c r="Y49" s="28">
        <f>CORREL('DATASET 25%'!$AV2:$AV21,'DATASET 25%'!Y2:Y21)</f>
        <v>9.7012241311273617E-2</v>
      </c>
      <c r="Z49" s="28">
        <f>CORREL('DATASET 25%'!$AV2:$AV21,'DATASET 25%'!Z2:Z21)</f>
        <v>0.29966148992990171</v>
      </c>
      <c r="AA49" s="28">
        <f>CORREL('DATASET 25%'!$AV2:$AV21,'DATASET 25%'!AA2:AA21)</f>
        <v>0.47977289597136402</v>
      </c>
      <c r="AB49" s="28">
        <f>CORREL('DATASET 25%'!$AV2:$AV21,'DATASET 25%'!AB2:AB21)</f>
        <v>-0.29568850838182914</v>
      </c>
      <c r="AC49" s="28">
        <f>CORREL('DATASET 25%'!$AV2:$AV21,'DATASET 25%'!AC2:AC21)</f>
        <v>-0.14364860122855577</v>
      </c>
      <c r="AD49" s="28">
        <f>CORREL('DATASET 25%'!$AV2:$AV21,'DATASET 25%'!AD2:AD21)</f>
        <v>-8.7473512225224148E-2</v>
      </c>
      <c r="AE49" s="28">
        <f>CORREL('DATASET 25%'!$AV2:$AV21,'DATASET 25%'!AE2:AE21)</f>
        <v>0</v>
      </c>
      <c r="AF49" s="28">
        <f>CORREL('DATASET 25%'!$AV2:$AV21,'DATASET 25%'!AF2:AF21)</f>
        <v>-0.23398419466270653</v>
      </c>
      <c r="AG49" s="28">
        <f>CORREL('DATASET 25%'!$AV2:$AV21,'DATASET 25%'!AG2:AG21)</f>
        <v>0.16558158568661696</v>
      </c>
      <c r="AH49" s="28">
        <f>CORREL('DATASET 25%'!$AV2:$AV21,'DATASET 25%'!AH2:AH21)</f>
        <v>-0.31686212526223895</v>
      </c>
      <c r="AI49" s="28">
        <f>CORREL('DATASET 25%'!$AV2:$AV21,'DATASET 25%'!AI2:AI21)</f>
        <v>0.32415011650079217</v>
      </c>
      <c r="AJ49" s="28">
        <f>CORREL('DATASET 25%'!$AV2:$AV21,'DATASET 25%'!AJ2:AJ21)</f>
        <v>0.11845088536983572</v>
      </c>
      <c r="AK49" s="28">
        <f>CORREL('DATASET 25%'!$AV2:$AV21,'DATASET 25%'!AK2:AK21)</f>
        <v>0.71292334815585534</v>
      </c>
      <c r="AL49" s="28">
        <f>CORREL('DATASET 25%'!$AV2:$AV21,'DATASET 25%'!AL2:AL21)</f>
        <v>0.1708729456623313</v>
      </c>
      <c r="AM49" s="28">
        <f>CORREL('DATASET 25%'!$AV2:$AV21,'DATASET 25%'!AM2:AM21)</f>
        <v>0.32824427480916041</v>
      </c>
      <c r="AN49" s="28">
        <f>CORREL('DATASET 25%'!$AV2:$AV21,'DATASET 25%'!AN2:AN21)</f>
        <v>0.2241823631750787</v>
      </c>
      <c r="AO49" s="28">
        <f>CORREL('DATASET 25%'!$AV2:$AV21,'DATASET 25%'!AO2:AO21)</f>
        <v>0.52311437434718677</v>
      </c>
      <c r="AP49" s="28">
        <f>CORREL('DATASET 25%'!$AV2:$AV21,'DATASET 25%'!AP2:AP21)</f>
        <v>0.1602308988614114</v>
      </c>
      <c r="AQ49" s="28">
        <f>CORREL('DATASET 25%'!$AV2:$AV21,'DATASET 25%'!AQ2:AQ21)</f>
        <v>-0.63341201994559404</v>
      </c>
      <c r="AR49" s="28">
        <f>CORREL('DATASET 25%'!$AV2:$AV21,'DATASET 25%'!AR2:AR21)</f>
        <v>-8.6741437886104625E-2</v>
      </c>
      <c r="AS49" s="28">
        <f>CORREL('DATASET 25%'!$AV2:$AV21,'DATASET 25%'!AS2:AS21)</f>
        <v>0.36166392176071299</v>
      </c>
      <c r="AT49" s="28">
        <f>CORREL('DATASET 25%'!$AV2:$AV21,'DATASET 25%'!AT2:AT21)</f>
        <v>7.2374686445574599E-2</v>
      </c>
      <c r="AU49" s="28">
        <f>CORREL('DATASET 25%'!$AV2:$AV21,'DATASET 25%'!AU2:AU21)</f>
        <v>-3.1642119364502175E-2</v>
      </c>
      <c r="AV49" s="28">
        <f>CORREL('DATASET 25%'!$AV2:$AV21,'DATASET 25%'!AV2:AV21)</f>
        <v>1</v>
      </c>
      <c r="AW49" s="28">
        <f>CORREL('DATASET 25%'!$AV2:$AV21,'DATASET 25%'!AW2:AW21)</f>
        <v>0.46359913756034499</v>
      </c>
      <c r="AX49" s="28">
        <f>CORREL('DATASET 25%'!$AV2:$AV21,'DATASET 25%'!AX2:AX21)</f>
        <v>-0.28219250618725422</v>
      </c>
      <c r="AY49" s="28">
        <f>CORREL('DATASET 25%'!$AV2:$AV21,'DATASET 25%'!AY2:AY21)</f>
        <v>0.33717089216940976</v>
      </c>
    </row>
    <row r="50" spans="1:51" ht="32" customHeight="1" x14ac:dyDescent="0.15">
      <c r="A50" s="30" t="s">
        <v>56</v>
      </c>
      <c r="B50" s="29">
        <f>CORREL('DATASET 25%'!$AW2:$AW21,'DATASET 25%'!B2:B21)</f>
        <v>0.81574370240807415</v>
      </c>
      <c r="C50" s="28">
        <f>CORREL('DATASET 25%'!$AW2:$AW21,'DATASET 25%'!C2:C21)</f>
        <v>0.70195258398811944</v>
      </c>
      <c r="D50" s="28">
        <f>CORREL('DATASET 25%'!$AW2:$AW21,'DATASET 25%'!D2:D21)</f>
        <v>0.16106700600060608</v>
      </c>
      <c r="E50" s="28">
        <f>CORREL('DATASET 25%'!$AW2:$AW21,'DATASET 25%'!E2:E21)</f>
        <v>0.59130013896644451</v>
      </c>
      <c r="F50" s="28">
        <f>CORREL('DATASET 25%'!$AW2:$AW21,'DATASET 25%'!F2:F21)</f>
        <v>0.56728315881515345</v>
      </c>
      <c r="G50" s="28">
        <f>CORREL('DATASET 25%'!$AW2:$AW21,'DATASET 25%'!G2:G21)</f>
        <v>0.48427706894964795</v>
      </c>
      <c r="H50" s="28">
        <f>CORREL('DATASET 25%'!$AW2:$AW21,'DATASET 25%'!H2:H21)</f>
        <v>-0.45421997916613499</v>
      </c>
      <c r="I50" s="42">
        <f>CORREL('DATASET 25%'!$AW2:$AW21,'DATASET 25%'!I2:I21)</f>
        <v>-0.41358509593425552</v>
      </c>
      <c r="J50" s="28">
        <f>CORREL('DATASET 25%'!$AW2:$AW21,'DATASET 25%'!J2:J21)</f>
        <v>0.17971268936194615</v>
      </c>
      <c r="K50" s="28">
        <f>CORREL('DATASET 25%'!$AW2:$AW21,'DATASET 25%'!K2:K21)</f>
        <v>0.80633955019453984</v>
      </c>
      <c r="L50" s="28">
        <f>CORREL('DATASET 25%'!$AW2:$AW21,'DATASET 25%'!L2:L21)</f>
        <v>9.1978330158633839E-2</v>
      </c>
      <c r="M50" s="28">
        <f>CORREL('DATASET 25%'!$AW2:$AW21,'DATASET 25%'!M2:M21)</f>
        <v>-0.69480833377965101</v>
      </c>
      <c r="N50" s="28">
        <f>CORREL('DATASET 25%'!$AW2:$AW21,'DATASET 25%'!N2:N21)</f>
        <v>-0.11231623250591986</v>
      </c>
      <c r="O50" s="28">
        <f>CORREL('DATASET 25%'!$AW2:$AW21,'DATASET 25%'!O2:O21)</f>
        <v>0.7330727315719654</v>
      </c>
      <c r="P50" s="28">
        <f>CORREL('DATASET 25%'!$AW2:$AW21,'DATASET 25%'!P2:P21)</f>
        <v>-0.70434812114982803</v>
      </c>
      <c r="Q50" s="28">
        <f>CORREL('DATASET 25%'!$AW2:$AW21,'DATASET 25%'!Q2:Q21)</f>
        <v>0.1188643277625491</v>
      </c>
      <c r="R50" s="28">
        <f>CORREL('DATASET 25%'!$AW2:$AW21,'DATASET 25%'!R2:R21)</f>
        <v>-0.17593288763724918</v>
      </c>
      <c r="S50" s="38">
        <f>CORREL('DATASET 25%'!$AW2:$AW21,'DATASET 25%'!S2:S21)</f>
        <v>-0.44523913289664357</v>
      </c>
      <c r="T50" s="28">
        <f>CORREL('DATASET 25%'!$AW2:$AW21,'DATASET 25%'!T2:T21)</f>
        <v>0.79300900322995782</v>
      </c>
      <c r="U50" s="28">
        <f>CORREL('DATASET 25%'!$AW2:$AW21,'DATASET 25%'!U2:U21)</f>
        <v>-0.45585990504422919</v>
      </c>
      <c r="V50" s="28">
        <f>CORREL('DATASET 25%'!$AW2:$AW21,'DATASET 25%'!V2:V21)</f>
        <v>-0.10044292546128844</v>
      </c>
      <c r="W50" s="28">
        <f>CORREL('DATASET 25%'!$AW2:$AW21,'DATASET 25%'!W2:W21)</f>
        <v>-0.31933900659008685</v>
      </c>
      <c r="X50" s="28">
        <f>CORREL('DATASET 25%'!$AW2:$AW21,'DATASET 25%'!X2:X21)</f>
        <v>0.72856916048551468</v>
      </c>
      <c r="Y50" s="28">
        <f>CORREL('DATASET 25%'!$AW2:$AW21,'DATASET 25%'!Y2:Y21)</f>
        <v>0.73867105035659864</v>
      </c>
      <c r="Z50" s="28">
        <f>CORREL('DATASET 25%'!$AW2:$AW21,'DATASET 25%'!Z2:Z21)</f>
        <v>0.35575623676894264</v>
      </c>
      <c r="AA50" s="28">
        <f>CORREL('DATASET 25%'!$AW2:$AW21,'DATASET 25%'!AA2:AA21)</f>
        <v>8.4464159220144896E-3</v>
      </c>
      <c r="AB50" s="28">
        <f>CORREL('DATASET 25%'!$AW2:$AW21,'DATASET 25%'!AB2:AB21)</f>
        <v>0.61971906872221638</v>
      </c>
      <c r="AC50" s="28">
        <f>CORREL('DATASET 25%'!$AW2:$AW21,'DATASET 25%'!AC2:AC21)</f>
        <v>9.2213889195414706E-2</v>
      </c>
      <c r="AD50" s="28">
        <f>CORREL('DATASET 25%'!$AW2:$AW21,'DATASET 25%'!AD2:AD21)</f>
        <v>-0.19481258303987195</v>
      </c>
      <c r="AE50" s="28">
        <f>CORREL('DATASET 25%'!$AW2:$AW21,'DATASET 25%'!AE2:AE21)</f>
        <v>-0.62269984907723908</v>
      </c>
      <c r="AF50" s="28">
        <f>CORREL('DATASET 25%'!$AW2:$AW21,'DATASET 25%'!AF2:AF21)</f>
        <v>-0.39999999999999991</v>
      </c>
      <c r="AG50" s="28">
        <f>CORREL('DATASET 25%'!$AW2:$AW21,'DATASET 25%'!AG2:AG21)</f>
        <v>0.85904643897389277</v>
      </c>
      <c r="AH50" s="28">
        <f>CORREL('DATASET 25%'!$AW2:$AW21,'DATASET 25%'!AH2:AH21)</f>
        <v>0.24253562503633302</v>
      </c>
      <c r="AI50" s="28">
        <f>CORREL('DATASET 25%'!$AW2:$AW21,'DATASET 25%'!AI2:AI21)</f>
        <v>-0.22171978681558002</v>
      </c>
      <c r="AJ50" s="28">
        <f>CORREL('DATASET 25%'!$AW2:$AW21,'DATASET 25%'!AJ2:AJ21)</f>
        <v>0.75195170611580142</v>
      </c>
      <c r="AK50" s="28">
        <f>CORREL('DATASET 25%'!$AW2:$AW21,'DATASET 25%'!AK2:AK21)</f>
        <v>0.31436334444974512</v>
      </c>
      <c r="AL50" s="28">
        <f>CORREL('DATASET 25%'!$AW2:$AW21,'DATASET 25%'!AL2:AL21)</f>
        <v>-0.11065666703449763</v>
      </c>
      <c r="AM50" s="28">
        <f>CORREL('DATASET 25%'!$AW2:$AW21,'DATASET 25%'!AM2:AM21)</f>
        <v>0.57411483445148415</v>
      </c>
      <c r="AN50" s="28">
        <f>CORREL('DATASET 25%'!$AW2:$AW21,'DATASET 25%'!AN2:AN21)</f>
        <v>0.297516602952269</v>
      </c>
      <c r="AO50" s="28">
        <f>CORREL('DATASET 25%'!$AW2:$AW21,'DATASET 25%'!AO2:AO21)</f>
        <v>-0.24913643956121989</v>
      </c>
      <c r="AP50" s="28">
        <f>CORREL('DATASET 25%'!$AW2:$AW21,'DATASET 25%'!AP2:AP21)</f>
        <v>-0.18115468597506187</v>
      </c>
      <c r="AQ50" s="28">
        <f>CORREL('DATASET 25%'!$AW2:$AW21,'DATASET 25%'!AQ2:AQ21)</f>
        <v>-0.38497419160916252</v>
      </c>
      <c r="AR50" s="28">
        <f>CORREL('DATASET 25%'!$AW2:$AW21,'DATASET 25%'!AR2:AR21)</f>
        <v>-0.1212499829492224</v>
      </c>
      <c r="AS50" s="28">
        <f>CORREL('DATASET 25%'!$AW2:$AW21,'DATASET 25%'!AS2:AS21)</f>
        <v>-0.48795003647426638</v>
      </c>
      <c r="AT50" s="28">
        <f>CORREL('DATASET 25%'!$AW2:$AW21,'DATASET 25%'!AT2:AT21)</f>
        <v>0.86979689861744014</v>
      </c>
      <c r="AU50" s="28">
        <f>CORREL('DATASET 25%'!$AW2:$AW21,'DATASET 25%'!AU2:AU21)</f>
        <v>0.29702006475334308</v>
      </c>
      <c r="AV50" s="28">
        <f>CORREL('DATASET 25%'!$AW2:$AW21,'DATASET 25%'!AV2:AV21)</f>
        <v>0.46359913756034499</v>
      </c>
      <c r="AW50" s="28">
        <f>CORREL('DATASET 25%'!$AW2:$AW21,'DATASET 25%'!AW2:AW21)</f>
        <v>1</v>
      </c>
      <c r="AX50" s="28">
        <f>CORREL('DATASET 25%'!$AW2:$AW21,'DATASET 25%'!AX2:AX21)</f>
        <v>-0.37330261010295307</v>
      </c>
      <c r="AY50" s="28">
        <f>CORREL('DATASET 25%'!$AW2:$AW21,'DATASET 25%'!AY2:AY21)</f>
        <v>-0.12318840579710143</v>
      </c>
    </row>
    <row r="51" spans="1:51" ht="20" customHeight="1" x14ac:dyDescent="0.15">
      <c r="A51" s="30" t="s">
        <v>49</v>
      </c>
      <c r="B51" s="29">
        <f>CORREL('DATASET 25%'!$AX2:$AX21,'DATASET 25%'!B2:B21)</f>
        <v>-0.5731711818434021</v>
      </c>
      <c r="C51" s="28">
        <f>CORREL('DATASET 25%'!$AX2:$AX21,'DATASET 25%'!C2:C21)</f>
        <v>-0.28329634983503671</v>
      </c>
      <c r="D51" s="28">
        <f>CORREL('DATASET 25%'!$AX2:$AX21,'DATASET 25%'!D2:D21)</f>
        <v>-6.601558944168558E-3</v>
      </c>
      <c r="E51" s="28">
        <f>CORREL('DATASET 25%'!$AX2:$AX21,'DATASET 25%'!E2:E21)</f>
        <v>-0.28244484024248995</v>
      </c>
      <c r="F51" s="28">
        <f>CORREL('DATASET 25%'!$AX2:$AX21,'DATASET 25%'!F2:F21)</f>
        <v>-0.36314669990488441</v>
      </c>
      <c r="G51" s="28">
        <f>CORREL('DATASET 25%'!$AX2:$AX21,'DATASET 25%'!G2:G21)</f>
        <v>0.3583841491605973</v>
      </c>
      <c r="H51" s="28">
        <f>CORREL('DATASET 25%'!$AX2:$AX21,'DATASET 25%'!H2:H21)</f>
        <v>-0.21821789023599242</v>
      </c>
      <c r="I51" s="42">
        <f>CORREL('DATASET 25%'!$AX2:$AX21,'DATASET 25%'!I2:I21)</f>
        <v>0.59597447142154913</v>
      </c>
      <c r="J51" s="28">
        <f>CORREL('DATASET 25%'!$AX2:$AX21,'DATASET 25%'!J2:J21)</f>
        <v>0.28076058609010446</v>
      </c>
      <c r="K51" s="28">
        <f>CORREL('DATASET 25%'!$AX2:$AX21,'DATASET 25%'!K2:K21)</f>
        <v>-0.11771773894935468</v>
      </c>
      <c r="L51" s="28">
        <f>CORREL('DATASET 25%'!$AX2:$AX21,'DATASET 25%'!L2:L21)</f>
        <v>4.9309568779647386E-2</v>
      </c>
      <c r="M51" s="28">
        <f>CORREL('DATASET 25%'!$AX2:$AX21,'DATASET 25%'!M2:M21)</f>
        <v>0.32643582516653502</v>
      </c>
      <c r="N51" s="28">
        <f>CORREL('DATASET 25%'!$AX2:$AX21,'DATASET 25%'!N2:N21)</f>
        <v>0.45536443738321652</v>
      </c>
      <c r="O51" s="28">
        <f>CORREL('DATASET 25%'!$AX2:$AX21,'DATASET 25%'!O2:O21)</f>
        <v>-0.14510543321673863</v>
      </c>
      <c r="P51" s="28">
        <f>CORREL('DATASET 25%'!$AX2:$AX21,'DATASET 25%'!P2:P21)</f>
        <v>0.75824175824175832</v>
      </c>
      <c r="Q51" s="28">
        <f>CORREL('DATASET 25%'!$AX2:$AX21,'DATASET 25%'!Q2:Q21)</f>
        <v>-0.232379000772445</v>
      </c>
      <c r="R51" s="28">
        <f>CORREL('DATASET 25%'!$AX2:$AX21,'DATASET 25%'!R2:R21)</f>
        <v>0.57564061110039699</v>
      </c>
      <c r="S51" s="38">
        <f>CORREL('DATASET 25%'!$AX2:$AX21,'DATASET 25%'!S2:S21)</f>
        <v>0.33717177946473381</v>
      </c>
      <c r="T51" s="28">
        <f>CORREL('DATASET 25%'!$AX2:$AX21,'DATASET 25%'!T2:T21)</f>
        <v>-0.37359830577864034</v>
      </c>
      <c r="U51" s="28">
        <f>CORREL('DATASET 25%'!$AX2:$AX21,'DATASET 25%'!U2:U21)</f>
        <v>0.67863325166106558</v>
      </c>
      <c r="V51" s="28">
        <f>CORREL('DATASET 25%'!$AX2:$AX21,'DATASET 25%'!V2:V21)</f>
        <v>-3.0934411244487345E-2</v>
      </c>
      <c r="W51" s="28">
        <f>CORREL('DATASET 25%'!$AX2:$AX21,'DATASET 25%'!W2:W21)</f>
        <v>-4.4458937126848674E-2</v>
      </c>
      <c r="X51" s="28">
        <f>CORREL('DATASET 25%'!$AX2:$AX21,'DATASET 25%'!X2:X21)</f>
        <v>-0.11832890014054123</v>
      </c>
      <c r="Y51" s="28">
        <f>CORREL('DATASET 25%'!$AX2:$AX21,'DATASET 25%'!Y2:Y21)</f>
        <v>-0.67295271138668888</v>
      </c>
      <c r="Z51" s="28">
        <f>CORREL('DATASET 25%'!$AX2:$AX21,'DATASET 25%'!Z2:Z21)</f>
        <v>-0.36297634195291317</v>
      </c>
      <c r="AA51" s="28">
        <f>CORREL('DATASET 25%'!$AX2:$AX21,'DATASET 25%'!AA2:AA21)</f>
        <v>9.4475498594666044E-2</v>
      </c>
      <c r="AB51" s="28">
        <f>CORREL('DATASET 25%'!$AX2:$AX21,'DATASET 25%'!AB2:AB21)</f>
        <v>-0.35964518652996702</v>
      </c>
      <c r="AC51" s="28">
        <f>CORREL('DATASET 25%'!$AX2:$AX21,'DATASET 25%'!AC2:AC21)</f>
        <v>1.6484511834894633E-2</v>
      </c>
      <c r="AD51" s="28">
        <f>CORREL('DATASET 25%'!$AX2:$AX21,'DATASET 25%'!AD2:AD21)</f>
        <v>0.64128498883160467</v>
      </c>
      <c r="AE51" s="28">
        <f>CORREL('DATASET 25%'!$AX2:$AX21,'DATASET 25%'!AE2:AE21)</f>
        <v>0.77268740559607096</v>
      </c>
      <c r="AF51" s="28">
        <f>CORREL('DATASET 25%'!$AX2:$AX21,'DATASET 25%'!AF2:AF21)</f>
        <v>0.27907815282571896</v>
      </c>
      <c r="AG51" s="28">
        <f>CORREL('DATASET 25%'!$AX2:$AX21,'DATASET 25%'!AG2:AG21)</f>
        <v>-0.13043630466365258</v>
      </c>
      <c r="AH51" s="28">
        <f>CORREL('DATASET 25%'!$AX2:$AX21,'DATASET 25%'!AH2:AH21)</f>
        <v>0.11492582782061478</v>
      </c>
      <c r="AI51" s="28">
        <f>CORREL('DATASET 25%'!$AX2:$AX21,'DATASET 25%'!AI2:AI21)</f>
        <v>-6.4746221285351541E-2</v>
      </c>
      <c r="AJ51" s="28">
        <f>CORREL('DATASET 25%'!$AX2:$AX21,'DATASET 25%'!AJ2:AJ21)</f>
        <v>3.7075671771772047E-2</v>
      </c>
      <c r="AK51" s="28">
        <f>CORREL('DATASET 25%'!$AX2:$AX21,'DATASET 25%'!AK2:AK21)</f>
        <v>-6.9534371477505602E-2</v>
      </c>
      <c r="AL51" s="28">
        <f>CORREL('DATASET 25%'!$AX2:$AX21,'DATASET 25%'!AL2:AL21)</f>
        <v>-0.45850493480288257</v>
      </c>
      <c r="AM51" s="28">
        <f>CORREL('DATASET 25%'!$AX2:$AX21,'DATASET 25%'!AM2:AM21)</f>
        <v>-0.28097574347450827</v>
      </c>
      <c r="AN51" s="28">
        <f>CORREL('DATASET 25%'!$AX2:$AX21,'DATASET 25%'!AN2:AN21)</f>
        <v>-0.16265661307983256</v>
      </c>
      <c r="AO51" s="28">
        <f>CORREL('DATASET 25%'!$AX2:$AX21,'DATASET 25%'!AO2:AO21)</f>
        <v>0.37851664930511264</v>
      </c>
      <c r="AP51" s="28">
        <f>CORREL('DATASET 25%'!$AX2:$AX21,'DATASET 25%'!AP2:AP21)</f>
        <v>0.70192152428276766</v>
      </c>
      <c r="AQ51" s="28">
        <f>CORREL('DATASET 25%'!$AX2:$AX21,'DATASET 25%'!AQ2:AQ21)</f>
        <v>0.34424349555131856</v>
      </c>
      <c r="AR51" s="28">
        <f>CORREL('DATASET 25%'!$AX2:$AX21,'DATASET 25%'!AR2:AR21)</f>
        <v>-9.048748253832703E-2</v>
      </c>
      <c r="AS51" s="28">
        <f>CORREL('DATASET 25%'!$AX2:$AX21,'DATASET 25%'!AS2:AS21)</f>
        <v>0.56543385745325814</v>
      </c>
      <c r="AT51" s="28">
        <f>CORREL('DATASET 25%'!$AX2:$AX21,'DATASET 25%'!AT2:AT21)</f>
        <v>-0.19715970992956997</v>
      </c>
      <c r="AU51" s="28">
        <f>CORREL('DATASET 25%'!$AX2:$AX21,'DATASET 25%'!AU2:AU21)</f>
        <v>-1.1212622650994887E-2</v>
      </c>
      <c r="AV51" s="28">
        <f>CORREL('DATASET 25%'!$AX2:$AX21,'DATASET 25%'!AV2:AV21)</f>
        <v>-0.28219250618725422</v>
      </c>
      <c r="AW51" s="28">
        <f>CORREL('DATASET 25%'!$AX2:$AX21,'DATASET 25%'!AW2:AW21)</f>
        <v>-0.37330261010295307</v>
      </c>
      <c r="AX51" s="28">
        <f>CORREL('DATASET 25%'!$AX2:$AX21,'DATASET 25%'!AX2:AX21)</f>
        <v>1</v>
      </c>
      <c r="AY51" s="28">
        <f>CORREL('DATASET 25%'!$AX2:$AX21,'DATASET 25%'!AY2:AY21)</f>
        <v>6.1418977599174064E-2</v>
      </c>
    </row>
    <row r="52" spans="1:51" ht="20" customHeight="1" x14ac:dyDescent="0.15">
      <c r="A52" s="30" t="s">
        <v>50</v>
      </c>
      <c r="B52" s="29">
        <f>CORREL('DATASET 25%'!$AY2:$AY21,'DATASET 25%'!B2:B21)</f>
        <v>-0.15048231635721146</v>
      </c>
      <c r="C52" s="28">
        <f>CORREL('DATASET 25%'!$AY2:$AY21,'DATASET 25%'!C2:C21)</f>
        <v>0.63245553203367577</v>
      </c>
      <c r="D52" s="28">
        <f>CORREL('DATASET 25%'!$AY2:$AY21,'DATASET 25%'!D2:D21)</f>
        <v>0.7902097902097901</v>
      </c>
      <c r="E52" s="28">
        <f>CORREL('DATASET 25%'!$AY2:$AY21,'DATASET 25%'!E2:E21)</f>
        <v>-0.3461467590095314</v>
      </c>
      <c r="F52" s="28">
        <f>CORREL('DATASET 25%'!$AY2:$AY21,'DATASET 25%'!F2:F21)</f>
        <v>-0.21582073761783843</v>
      </c>
      <c r="G52" s="28">
        <f>CORREL('DATASET 25%'!$AY2:$AY21,'DATASET 25%'!G2:G21)</f>
        <v>-0.55988472199588957</v>
      </c>
      <c r="H52" s="28">
        <f>CORREL('DATASET 25%'!$AY2:$AY21,'DATASET 25%'!H2:H21)</f>
        <v>0.43082021842766444</v>
      </c>
      <c r="I52" s="42">
        <f>CORREL('DATASET 25%'!$AY2:$AY21,'DATASET 25%'!I2:I21)</f>
        <v>0.40499883563002148</v>
      </c>
      <c r="J52" s="28">
        <f>CORREL('DATASET 25%'!$AY2:$AY21,'DATASET 25%'!J2:J21)</f>
        <v>0.73610963889330572</v>
      </c>
      <c r="K52" s="28">
        <f>CORREL('DATASET 25%'!$AY2:$AY21,'DATASET 25%'!K2:K21)</f>
        <v>-8.3045479853739959E-2</v>
      </c>
      <c r="L52" s="28">
        <f>CORREL('DATASET 25%'!$AY2:$AY21,'DATASET 25%'!L2:L21)</f>
        <v>0.39125402252874986</v>
      </c>
      <c r="M52" s="28">
        <f>CORREL('DATASET 25%'!$AY2:$AY21,'DATASET 25%'!M2:M21)</f>
        <v>0.28562507898295036</v>
      </c>
      <c r="N52" s="28">
        <f>CORREL('DATASET 25%'!$AY2:$AY21,'DATASET 25%'!N2:N21)</f>
        <v>8.9280538152240227E-2</v>
      </c>
      <c r="O52" s="28">
        <f>CORREL('DATASET 25%'!$AY2:$AY21,'DATASET 25%'!O2:O21)</f>
        <v>-0.39220568358354541</v>
      </c>
      <c r="P52" s="28">
        <f>CORREL('DATASET 25%'!$AY2:$AY21,'DATASET 25%'!P2:P21)</f>
        <v>0.14907119849998601</v>
      </c>
      <c r="Q52" s="28">
        <f>CORREL('DATASET 25%'!$AY2:$AY21,'DATASET 25%'!Q2:Q21)</f>
        <v>-9.9999999999999992E-2</v>
      </c>
      <c r="R52" s="28">
        <f>CORREL('DATASET 25%'!$AY2:$AY21,'DATASET 25%'!R2:R21)</f>
        <v>0.57896373373046806</v>
      </c>
      <c r="S52" s="38">
        <f>CORREL('DATASET 25%'!$AY2:$AY21,'DATASET 25%'!S2:S21)</f>
        <v>0.67856421741067696</v>
      </c>
      <c r="T52" s="28">
        <f>CORREL('DATASET 25%'!$AY2:$AY21,'DATASET 25%'!T2:T21)</f>
        <v>-0.2539166875385041</v>
      </c>
      <c r="U52" s="28">
        <f>CORREL('DATASET 25%'!$AY2:$AY21,'DATASET 25%'!U2:U21)</f>
        <v>0.23150132984005872</v>
      </c>
      <c r="V52" s="28">
        <f>CORREL('DATASET 25%'!$AY2:$AY21,'DATASET 25%'!V2:V21)</f>
        <v>0.70417879021953023</v>
      </c>
      <c r="W52" s="28">
        <f>CORREL('DATASET 25%'!$AY2:$AY21,'DATASET 25%'!W2:W21)</f>
        <v>0.68250014770174439</v>
      </c>
      <c r="X52" s="28">
        <f>CORREL('DATASET 25%'!$AY2:$AY21,'DATASET 25%'!X2:X21)</f>
        <v>-0.44950221223701453</v>
      </c>
      <c r="Y52" s="28">
        <f>CORREL('DATASET 25%'!$AY2:$AY21,'DATASET 25%'!Y2:Y21)</f>
        <v>-0.6064784348631227</v>
      </c>
      <c r="Z52" s="28">
        <f>CORREL('DATASET 25%'!$AY2:$AY21,'DATASET 25%'!Z2:Z21)</f>
        <v>0.11347803127252842</v>
      </c>
      <c r="AA52" s="28">
        <f>CORREL('DATASET 25%'!$AY2:$AY21,'DATASET 25%'!AA2:AA21)</f>
        <v>0.24056261216234401</v>
      </c>
      <c r="AB52" s="28">
        <f>CORREL('DATASET 25%'!$AY2:$AY21,'DATASET 25%'!AB2:AB21)</f>
        <v>-0.18447879034312925</v>
      </c>
      <c r="AC52" s="28">
        <f>CORREL('DATASET 25%'!$AY2:$AY21,'DATASET 25%'!AC2:AC21)</f>
        <v>-0.62333478605530113</v>
      </c>
      <c r="AD52" s="28">
        <f>CORREL('DATASET 25%'!$AY2:$AY21,'DATASET 25%'!AD2:AD21)</f>
        <v>0.4416027575226314</v>
      </c>
      <c r="AE52" s="28">
        <f>CORREL('DATASET 25%'!$AY2:$AY21,'DATASET 25%'!AE2:AE21)</f>
        <v>0.18376916754950673</v>
      </c>
      <c r="AF52" s="28">
        <f>CORREL('DATASET 25%'!$AY2:$AY21,'DATASET 25%'!AF2:AF21)</f>
        <v>0.46401520838782689</v>
      </c>
      <c r="AG52" s="28">
        <f>CORREL('DATASET 25%'!$AY2:$AY21,'DATASET 25%'!AG2:AG21)</f>
        <v>-0.36879189617800329</v>
      </c>
      <c r="AH52" s="28">
        <f>CORREL('DATASET 25%'!$AY2:$AY21,'DATASET 25%'!AH2:AH21)</f>
        <v>-0.79875468685558015</v>
      </c>
      <c r="AI52" s="28">
        <f>CORREL('DATASET 25%'!$AY2:$AY21,'DATASET 25%'!AI2:AI21)</f>
        <v>-0.23078316568852536</v>
      </c>
      <c r="AJ52" s="28">
        <f>CORREL('DATASET 25%'!$AY2:$AY21,'DATASET 25%'!AJ2:AJ21)</f>
        <v>-7.7615052570633294E-2</v>
      </c>
      <c r="AK52" s="28">
        <f>CORREL('DATASET 25%'!$AY2:$AY21,'DATASET 25%'!AK2:AK21)</f>
        <v>0.25680396387530496</v>
      </c>
      <c r="AL52" s="28">
        <f>CORREL('DATASET 25%'!$AY2:$AY21,'DATASET 25%'!AL2:AL21)</f>
        <v>0.38748758375718612</v>
      </c>
      <c r="AM52" s="28">
        <f>CORREL('DATASET 25%'!$AY2:$AY21,'DATASET 25%'!AM2:AM21)</f>
        <v>-0.33120206814197345</v>
      </c>
      <c r="AN52" s="28">
        <f>CORREL('DATASET 25%'!$AY2:$AY21,'DATASET 25%'!AN2:AN21)</f>
        <v>-0.24140227479263382</v>
      </c>
      <c r="AO52" s="28">
        <f>CORREL('DATASET 25%'!$AY2:$AY21,'DATASET 25%'!AO2:AO21)</f>
        <v>0.62554324217122426</v>
      </c>
      <c r="AP52" s="28">
        <f>CORREL('DATASET 25%'!$AY2:$AY21,'DATASET 25%'!AP2:AP21)</f>
        <v>0.63818047938680456</v>
      </c>
      <c r="AQ52" s="28">
        <f>CORREL('DATASET 25%'!$AY2:$AY21,'DATASET 25%'!AQ2:AQ21)</f>
        <v>-0.37537859676477409</v>
      </c>
      <c r="AR52" s="28">
        <f>CORREL('DATASET 25%'!$AY2:$AY21,'DATASET 25%'!AR2:AR21)</f>
        <v>0.21441096698421827</v>
      </c>
      <c r="AS52" s="28">
        <f>CORREL('DATASET 25%'!$AY2:$AY21,'DATASET 25%'!AS2:AS21)</f>
        <v>-6.3245553203367569E-2</v>
      </c>
      <c r="AT52" s="28">
        <f>CORREL('DATASET 25%'!$AY2:$AY21,'DATASET 25%'!AT2:AT21)</f>
        <v>0.11878712677908441</v>
      </c>
      <c r="AU52" s="28">
        <f>CORREL('DATASET 25%'!$AY2:$AY21,'DATASET 25%'!AU2:AU21)</f>
        <v>7.4363659922375314E-2</v>
      </c>
      <c r="AV52" s="28">
        <f>CORREL('DATASET 25%'!$AY2:$AY21,'DATASET 25%'!AV2:AV21)</f>
        <v>0.33717089216940976</v>
      </c>
      <c r="AW52" s="28">
        <f>CORREL('DATASET 25%'!$AY2:$AY21,'DATASET 25%'!AW2:AW21)</f>
        <v>-0.12318840579710143</v>
      </c>
      <c r="AX52" s="28">
        <f>CORREL('DATASET 25%'!$AY2:$AY21,'DATASET 25%'!AX2:AX21)</f>
        <v>6.1418977599174064E-2</v>
      </c>
      <c r="AY52" s="28">
        <f>CORREL('DATASET 25%'!$AY2:$AY21,'DATASET 25%'!AY2:AY21)</f>
        <v>1</v>
      </c>
    </row>
  </sheetData>
  <mergeCells count="1">
    <mergeCell ref="A1:AY1"/>
  </mergeCells>
  <conditionalFormatting sqref="B3:AY52">
    <cfRule type="cellIs" dxfId="5" priority="1" stopIfTrue="1" operator="greaterThanOrEqual">
      <formula>0.667</formula>
    </cfRule>
    <cfRule type="cellIs" dxfId="4" priority="2" stopIfTrue="1" operator="between">
      <formula>0.334</formula>
      <formula>0.667</formula>
    </cfRule>
    <cfRule type="cellIs" dxfId="3" priority="3" stopIfTrue="1" operator="between">
      <formula>0</formula>
      <formula>0.334</formula>
    </cfRule>
    <cfRule type="cellIs" dxfId="2" priority="4" stopIfTrue="1" operator="between">
      <formula>-0.667</formula>
      <formula>0</formula>
    </cfRule>
    <cfRule type="cellIs" dxfId="1" priority="5" stopIfTrue="1" operator="between">
      <formula>-0.334</formula>
      <formula>-1</formula>
    </cfRule>
    <cfRule type="cellIs" dxfId="0" priority="6" stopIfTrue="1" operator="lessThanOrEqual">
      <formula>-0.667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V17"/>
  <sheetViews>
    <sheetView showGridLines="0" tabSelected="1" zoomScale="140" zoomScaleNormal="140" workbookViewId="0">
      <pane xSplit="1" ySplit="2" topLeftCell="B3" activePane="bottomRight" state="frozen"/>
      <selection pane="topRight"/>
      <selection pane="bottomLeft"/>
      <selection pane="bottomRight" activeCell="F16" sqref="F16"/>
    </sheetView>
  </sheetViews>
  <sheetFormatPr baseColWidth="10" defaultColWidth="16.33203125" defaultRowHeight="20" customHeight="1" x14ac:dyDescent="0.15"/>
  <cols>
    <col min="1" max="256" width="16.33203125" style="12" customWidth="1"/>
  </cols>
  <sheetData>
    <row r="1" spans="1:6" ht="27.75" customHeight="1" x14ac:dyDescent="0.15">
      <c r="A1" s="45" t="s">
        <v>0</v>
      </c>
      <c r="B1" s="45"/>
      <c r="C1" s="45"/>
      <c r="D1" s="45"/>
      <c r="E1" s="45"/>
      <c r="F1" s="45"/>
    </row>
    <row r="2" spans="1:6" ht="31" customHeight="1" x14ac:dyDescent="0.15">
      <c r="A2" s="1"/>
      <c r="B2" s="2" t="s">
        <v>77</v>
      </c>
      <c r="C2" s="2" t="s">
        <v>78</v>
      </c>
      <c r="D2" s="2" t="s">
        <v>80</v>
      </c>
      <c r="E2" s="2" t="s">
        <v>79</v>
      </c>
      <c r="F2" s="2" t="s">
        <v>81</v>
      </c>
    </row>
    <row r="3" spans="1:6" ht="20.25" customHeight="1" x14ac:dyDescent="0.15">
      <c r="A3" s="3" t="s">
        <v>21</v>
      </c>
      <c r="B3" s="21">
        <v>0.84199999999999997</v>
      </c>
      <c r="C3" s="5">
        <v>3</v>
      </c>
      <c r="D3" s="5">
        <f>AVERAGE('DATASET 25%'!V2:V21)</f>
        <v>3.2307692307692308</v>
      </c>
      <c r="E3" s="5">
        <f t="shared" ref="E3:E11" si="0">C3-D3</f>
        <v>-0.23076923076923084</v>
      </c>
      <c r="F3" s="5">
        <f t="shared" ref="F3:F15" si="1">B3*E3</f>
        <v>-0.19430769230769235</v>
      </c>
    </row>
    <row r="4" spans="1:6" ht="20" customHeight="1" x14ac:dyDescent="0.15">
      <c r="A4" s="6" t="s">
        <v>41</v>
      </c>
      <c r="B4" s="16">
        <v>0.80300000000000005</v>
      </c>
      <c r="C4" s="8">
        <v>1</v>
      </c>
      <c r="D4" s="8">
        <f>AVERAGE('DATASET 25%'!AP2:AP21)</f>
        <v>3.3125</v>
      </c>
      <c r="E4" s="8">
        <f t="shared" si="0"/>
        <v>-2.3125</v>
      </c>
      <c r="F4" s="8">
        <f t="shared" si="1"/>
        <v>-1.8569375000000001</v>
      </c>
    </row>
    <row r="5" spans="1:6" ht="20" customHeight="1" x14ac:dyDescent="0.15">
      <c r="A5" s="6" t="s">
        <v>8</v>
      </c>
      <c r="B5" s="16">
        <v>0.76700000000000002</v>
      </c>
      <c r="C5" s="8">
        <v>2</v>
      </c>
      <c r="D5" s="8">
        <f>AVERAGE('DATASET 25%'!I2:I21)</f>
        <v>3</v>
      </c>
      <c r="E5" s="8">
        <f t="shared" si="0"/>
        <v>-1</v>
      </c>
      <c r="F5" s="8">
        <f t="shared" si="1"/>
        <v>-0.76700000000000002</v>
      </c>
    </row>
    <row r="6" spans="1:6" ht="20" customHeight="1" x14ac:dyDescent="0.15">
      <c r="A6" s="6" t="s">
        <v>17</v>
      </c>
      <c r="B6" s="16">
        <v>0.73699999999999999</v>
      </c>
      <c r="C6" s="8">
        <v>3</v>
      </c>
      <c r="D6" s="8">
        <f>AVERAGE('DATASET 25%'!R2:R21)</f>
        <v>3.2666666666666666</v>
      </c>
      <c r="E6" s="8">
        <f t="shared" si="0"/>
        <v>-0.26666666666666661</v>
      </c>
      <c r="F6" s="8">
        <f t="shared" si="1"/>
        <v>-0.19653333333333328</v>
      </c>
    </row>
    <row r="7" spans="1:6" ht="20" customHeight="1" x14ac:dyDescent="0.15">
      <c r="A7" s="6" t="s">
        <v>30</v>
      </c>
      <c r="B7" s="16">
        <v>0.73499999999999999</v>
      </c>
      <c r="C7" s="8">
        <v>2</v>
      </c>
      <c r="D7" s="8">
        <f>AVERAGE('DATASET 25%'!AE2:AE21)</f>
        <v>2.7142857142857144</v>
      </c>
      <c r="E7" s="8">
        <f t="shared" si="0"/>
        <v>-0.71428571428571441</v>
      </c>
      <c r="F7" s="8">
        <f t="shared" si="1"/>
        <v>-0.52500000000000013</v>
      </c>
    </row>
    <row r="8" spans="1:6" ht="20" customHeight="1" x14ac:dyDescent="0.15">
      <c r="A8" s="6" t="s">
        <v>50</v>
      </c>
      <c r="B8" s="16">
        <v>0.67900000000000005</v>
      </c>
      <c r="C8" s="8">
        <v>2</v>
      </c>
      <c r="D8" s="8">
        <f>AVERAGE('DATASET 25%'!AY2:AY21)</f>
        <v>2.5333333333333332</v>
      </c>
      <c r="E8" s="8">
        <f t="shared" si="0"/>
        <v>-0.53333333333333321</v>
      </c>
      <c r="F8" s="8">
        <f t="shared" si="1"/>
        <v>-0.36213333333333325</v>
      </c>
    </row>
    <row r="9" spans="1:6" ht="20" customHeight="1" x14ac:dyDescent="0.15">
      <c r="A9" s="6" t="s">
        <v>12</v>
      </c>
      <c r="B9" s="7">
        <v>0.66</v>
      </c>
      <c r="C9" s="8">
        <v>2</v>
      </c>
      <c r="D9" s="8">
        <f>AVERAGE('DATASET 25%'!M2:M21)</f>
        <v>2.4666666666666668</v>
      </c>
      <c r="E9" s="8">
        <f t="shared" si="0"/>
        <v>-0.46666666666666679</v>
      </c>
      <c r="F9" s="8">
        <f t="shared" si="1"/>
        <v>-0.30800000000000011</v>
      </c>
    </row>
    <row r="10" spans="1:6" ht="20" customHeight="1" x14ac:dyDescent="0.15">
      <c r="A10" s="6" t="s">
        <v>52</v>
      </c>
      <c r="B10" s="7">
        <v>0.61799999999999999</v>
      </c>
      <c r="C10" s="8">
        <v>2</v>
      </c>
      <c r="D10" s="8">
        <f>AVERAGE('DATASET 25%'!D2:D21)</f>
        <v>3.1333333333333333</v>
      </c>
      <c r="E10" s="8">
        <f t="shared" si="0"/>
        <v>-1.1333333333333333</v>
      </c>
      <c r="F10" s="8">
        <f t="shared" si="1"/>
        <v>-0.70040000000000002</v>
      </c>
    </row>
    <row r="11" spans="1:6" ht="20" customHeight="1" x14ac:dyDescent="0.15">
      <c r="A11" s="6" t="s">
        <v>54</v>
      </c>
      <c r="B11" s="7">
        <v>0.57299999999999995</v>
      </c>
      <c r="C11" s="8">
        <v>3</v>
      </c>
      <c r="D11" s="8">
        <f>AVERAGE('DATASET 25%'!J2:J21)</f>
        <v>3</v>
      </c>
      <c r="E11" s="8">
        <f t="shared" si="0"/>
        <v>0</v>
      </c>
      <c r="F11" s="8">
        <f t="shared" si="1"/>
        <v>0</v>
      </c>
    </row>
    <row r="12" spans="1:6" ht="20" customHeight="1" x14ac:dyDescent="0.15">
      <c r="A12" s="6" t="s">
        <v>31</v>
      </c>
      <c r="B12" s="7">
        <v>0.56699999999999995</v>
      </c>
      <c r="C12" s="8">
        <v>0</v>
      </c>
      <c r="D12" s="8">
        <f>AVERAGE('DATASET 25%'!AF2:AF21)</f>
        <v>3.5</v>
      </c>
      <c r="E12" s="8">
        <v>0</v>
      </c>
      <c r="F12" s="8">
        <f t="shared" si="1"/>
        <v>0</v>
      </c>
    </row>
    <row r="13" spans="1:6" ht="20" customHeight="1" x14ac:dyDescent="0.15">
      <c r="A13" s="6" t="s">
        <v>22</v>
      </c>
      <c r="B13" s="7">
        <v>0.56499999999999995</v>
      </c>
      <c r="C13" s="8">
        <v>4</v>
      </c>
      <c r="D13" s="8">
        <f>AVERAGE('DATASET 25%'!W2:W21)</f>
        <v>3.4</v>
      </c>
      <c r="E13" s="8">
        <f>C13-D13</f>
        <v>0.60000000000000009</v>
      </c>
      <c r="F13" s="8">
        <f t="shared" si="1"/>
        <v>0.33900000000000002</v>
      </c>
    </row>
    <row r="14" spans="1:6" ht="20" customHeight="1" x14ac:dyDescent="0.15">
      <c r="A14" s="6" t="s">
        <v>26</v>
      </c>
      <c r="B14" s="7">
        <v>0.55100000000000005</v>
      </c>
      <c r="C14" s="8">
        <v>4</v>
      </c>
      <c r="D14" s="8">
        <f>AVERAGE('DATASET 25%'!AA2:AA21)</f>
        <v>3.5333333333333332</v>
      </c>
      <c r="E14" s="8">
        <f>C14-D14</f>
        <v>0.46666666666666679</v>
      </c>
      <c r="F14" s="8">
        <f t="shared" si="1"/>
        <v>0.25713333333333344</v>
      </c>
    </row>
    <row r="15" spans="1:6" ht="32" customHeight="1" x14ac:dyDescent="0.15">
      <c r="A15" s="6" t="s">
        <v>15</v>
      </c>
      <c r="B15" s="7">
        <v>0.51100000000000001</v>
      </c>
      <c r="C15" s="8">
        <v>1</v>
      </c>
      <c r="D15" s="8">
        <f>AVERAGE('DATASET 25%'!P2:P21)</f>
        <v>1.6153846153846154</v>
      </c>
      <c r="E15" s="8">
        <f>C15-D15</f>
        <v>-0.61538461538461542</v>
      </c>
      <c r="F15" s="8">
        <f t="shared" si="1"/>
        <v>-0.31446153846153846</v>
      </c>
    </row>
    <row r="16" spans="1:6" ht="32" customHeight="1" x14ac:dyDescent="0.15">
      <c r="A16" s="14"/>
      <c r="B16" s="10"/>
      <c r="C16" s="11"/>
      <c r="D16" s="11"/>
      <c r="E16" s="13" t="s">
        <v>83</v>
      </c>
      <c r="F16" s="8">
        <f>SUM(F3:F8)/SUM(B3:B8)</f>
        <v>-0.85511984636738103</v>
      </c>
    </row>
    <row r="17" spans="1:6" ht="20" customHeight="1" x14ac:dyDescent="0.15">
      <c r="A17" s="14"/>
      <c r="B17" s="10"/>
      <c r="C17" s="11"/>
      <c r="D17" s="8">
        <f>AVERAGE('DATASET 25%'!S2:S21)</f>
        <v>2.5333333333333332</v>
      </c>
      <c r="E17" s="13" t="s">
        <v>82</v>
      </c>
      <c r="F17" s="8">
        <f>F16+AVERAGE('DATASET 25%'!S2:S21)</f>
        <v>1.6782134869659522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 25%</vt:lpstr>
      <vt:lpstr>Correlation25%</vt:lpstr>
      <vt:lpstr>Wolverine - 25%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Ramirez</cp:lastModifiedBy>
  <dcterms:modified xsi:type="dcterms:W3CDTF">2023-10-18T10:21:26Z</dcterms:modified>
</cp:coreProperties>
</file>